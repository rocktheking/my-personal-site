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60" activeTab="1"/>
  </bookViews>
  <sheets>
    <sheet name="Sheet1" sheetId="1" r:id="rId1"/>
    <sheet name="Sheet2" sheetId="3" r:id="rId2"/>
    <sheet name="Sheet3" sheetId="4" r:id="rId3"/>
  </sheets>
  <definedNames>
    <definedName name="_xlnm._FilterDatabase" localSheetId="1" hidden="1">Sheet2!$B$1:$B$74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<sst xmlns="http://schemas.openxmlformats.org/spreadsheetml/2006/main" count="1997" uniqueCount="623">
  <si>
    <t>核心品类</t>
  </si>
  <si>
    <t>细分指标（单位 / 测试条件）</t>
  </si>
  <si>
    <t>商业化需求指标（合格线）</t>
  </si>
  <si>
    <t>满分性能阈值（标杆线）</t>
  </si>
  <si>
    <t>全球最好成绩</t>
  </si>
  <si>
    <t>全球成绩打分（100 分制）</t>
  </si>
  <si>
    <t>全球顶尖企业 / 机构（对应此指标）</t>
  </si>
  <si>
    <t>国内最好成绩</t>
  </si>
  <si>
    <t>国内成绩打分（100 分制）</t>
  </si>
  <si>
    <t>国内顶尖企业 / 机构（对应此指标）</t>
  </si>
  <si>
    <t>市场空间说明（2035 年，亿元）</t>
  </si>
  <si>
    <t>该指标达标难度（10 分满分）</t>
  </si>
  <si>
    <t>打分核心依据</t>
  </si>
  <si>
    <t>托卡马克核心电源</t>
  </si>
  <si>
    <t>极向磁体电源电流纹波</t>
  </si>
  <si>
    <t>≤10μA rms</t>
  </si>
  <si>
    <t>≤2μA rms 且抗干扰达标 IEC 61000-4-3 Level4</t>
  </si>
  <si>
    <t>5μA rms</t>
  </si>
  <si>
    <t>90 分</t>
  </si>
  <si>
    <t>德国西门子、美国 Varian</t>
  </si>
  <si>
    <t>8μA rms</t>
  </si>
  <si>
    <t>85 分</t>
  </si>
  <si>
    <t>科威尔、爱科赛博</t>
  </si>
  <si>
    <t>——</t>
  </si>
  <si>
    <t>8 分</t>
  </si>
  <si>
    <t>全球、国内均达标，全球距满分阈值差 3μA，国内差 6μA，均无全工况抗干扰验证，扣 5-15 分</t>
  </si>
  <si>
    <t>中性束注入（NBI）加热电源电压</t>
  </si>
  <si>
    <t>≥800kV</t>
  </si>
  <si>
    <t>≥1MV 且连续运行≥1000h</t>
  </si>
  <si>
    <t>900kV</t>
  </si>
  <si>
    <t>88 分</t>
  </si>
  <si>
    <t>日本 JAEA、欧洲 EFDA</t>
  </si>
  <si>
    <t>700kV</t>
  </si>
  <si>
    <t>72 分</t>
  </si>
  <si>
    <t>英杰电气、新风光</t>
  </si>
  <si>
    <t>9 分</t>
  </si>
  <si>
    <t>全球超 12.5%，未达 1MV 标杆且运行时长不足；国内未达标，差距 100kV 扣 28 分</t>
  </si>
  <si>
    <t>射频加热（ECRH）电源功率密度</t>
  </si>
  <si>
    <t>≥5MW/m³</t>
  </si>
  <si>
    <t>≥8MW/m³ 且效率≥98%</t>
  </si>
  <si>
    <t>6.2MW/m³</t>
  </si>
  <si>
    <t>82 分</t>
  </si>
  <si>
    <t>美国通用原子、德国莱宝</t>
  </si>
  <si>
    <t>4.5MW/m³</t>
  </si>
  <si>
    <t>75 分</t>
  </si>
  <si>
    <t>瀚海聚能、四创电子</t>
  </si>
  <si>
    <t>全球超 24%，效率仅 96.5% 未达满分；国内未达标，差距 0.5MW/m³ 扣 25 分</t>
  </si>
  <si>
    <t>无功补偿响应时间</t>
  </si>
  <si>
    <t>≤10ms</t>
  </si>
  <si>
    <t>≤5ms 且无功波动≤±5Mvar</t>
  </si>
  <si>
    <t>8ms</t>
  </si>
  <si>
    <t>12ms</t>
  </si>
  <si>
    <t>78 分</t>
  </si>
  <si>
    <t>爱科赛博、新风光</t>
  </si>
  <si>
    <t>7 分</t>
  </si>
  <si>
    <t>全球达标且优于 20%，无功波动 ±8Mvar 超标；国内未达标，差距 2ms 扣 22 分</t>
  </si>
  <si>
    <t>失超保护响应时间</t>
  </si>
  <si>
    <t>≤5ms</t>
  </si>
  <si>
    <t>≤2ms 且无甩负荷冲击</t>
  </si>
  <si>
    <t>4ms</t>
  </si>
  <si>
    <t>德国西门子、日本三菱</t>
  </si>
  <si>
    <t>6ms</t>
  </si>
  <si>
    <t>东方中科、科威尔</t>
  </si>
  <si>
    <t>全球达标且优于 20%，无甩负荷冲击验证；国内未达标，差距 1ms 扣 25 分</t>
  </si>
  <si>
    <t>长脉冲稳态运行时间</t>
  </si>
  <si>
    <t>≥1000s（1 亿℃）</t>
  </si>
  <si>
    <t>≥3000s（1.2 亿℃）且等离子体约束稳定</t>
  </si>
  <si>
    <t>1066s（1 亿℃）</t>
  </si>
  <si>
    <t>中国 EAST、韩国 KSTAR</t>
  </si>
  <si>
    <t>中科院等离子体所</t>
  </si>
  <si>
    <t>全球、国内均达标，未达 3000s 标杆且温度未到 1.2 亿℃，扣 15 分</t>
  </si>
  <si>
    <t>系统国产化率</t>
  </si>
  <si>
    <t>≥85%</t>
  </si>
  <si>
    <t>≥100% 且核心器件自主可控</t>
  </si>
  <si>
    <t>92 分</t>
  </si>
  <si>
    <t>中国（EAST）</t>
  </si>
  <si>
    <t>中核集团、中科院系</t>
  </si>
  <si>
    <t>6 分</t>
  </si>
  <si>
    <t>全球达标超 7%，核心器件仍依赖进口；国内刚达标，无自主可控验证，扣 15 分</t>
  </si>
  <si>
    <t>真空电子管（四极管 / 回旋管 / 速调管）</t>
  </si>
  <si>
    <t>脉冲功率（四极管，ECRH 系统）</t>
  </si>
  <si>
    <t>≥1.5MW</t>
  </si>
  <si>
    <t>≥2MW 且寿命≥2 万小时</t>
  </si>
  <si>
    <t>1.8MW</t>
  </si>
  <si>
    <t>法国泰雷兹、日本住友电工</t>
  </si>
  <si>
    <t>1.5MW</t>
  </si>
  <si>
    <t>旭光电子、国力股份</t>
  </si>
  <si>
    <t>600 亿：辅助加热系统核心器件，ITER 需 16 套 1MW 四极管，商用堆单台需求超 50 套</t>
  </si>
  <si>
    <t>全球达标超 20%，寿命 1.8 万小时未达满分；国内刚达标，寿命 1.2 万小时扣 15 分</t>
  </si>
  <si>
    <t>工作频率（回旋管，ECRH 系统）</t>
  </si>
  <si>
    <t>≥170GHz</t>
  </si>
  <si>
    <t>≥220GHz 且连续运行≥1000h</t>
  </si>
  <si>
    <t>170GHz</t>
  </si>
  <si>
    <t>德国莱宝、美国 CFS</t>
  </si>
  <si>
    <t>120GHz</t>
  </si>
  <si>
    <t>70 分</t>
  </si>
  <si>
    <t>国光电气、四创电子</t>
  </si>
  <si>
    <t>全球刚达标，无长期运行验证；国内未达标，差距 50GHz 扣 30 分</t>
  </si>
  <si>
    <t>输出功率（速调管，LHCD 系统）</t>
  </si>
  <si>
    <t>≥0.5MW</t>
  </si>
  <si>
    <t>≥0.8MW 且无杂波干扰</t>
  </si>
  <si>
    <t>0.7MW</t>
  </si>
  <si>
    <t>美国 Varian、日本东芝</t>
  </si>
  <si>
    <t>0.5MW</t>
  </si>
  <si>
    <t>80 分</t>
  </si>
  <si>
    <t>全球超 40%，杂波干扰 ±5% 超标；国内刚达标，无干扰验证扣 20 分</t>
  </si>
  <si>
    <t>内部真空度</t>
  </si>
  <si>
    <t>≤10⁻⁸Pa</t>
  </si>
  <si>
    <t>≤10⁻¹⁰Pa 且真空保持≥5000h</t>
  </si>
  <si>
    <t>5×10⁻⁹Pa</t>
  </si>
  <si>
    <t>法国泰雷兹、德国西门子</t>
  </si>
  <si>
    <t>10⁻⁸Pa</t>
  </si>
  <si>
    <t>旭光电子、泛亚微透</t>
  </si>
  <si>
    <t>全球达标超 10 倍，真空保持 3000h 不足；国内刚达标扣 15 分</t>
  </si>
  <si>
    <t>Z - 箍缩电流驱动器</t>
  </si>
  <si>
    <t>输出电流峰值</t>
  </si>
  <si>
    <t>≥60MA</t>
  </si>
  <si>
    <t>≥70MA 且脉冲上升时间≤150ns</t>
  </si>
  <si>
    <t>65MA</t>
  </si>
  <si>
    <t>美国 Sandia 实验室（ZR 装置）</t>
  </si>
  <si>
    <t>50MA</t>
  </si>
  <si>
    <t>先觉聚能（绵阳九院）、中物院</t>
  </si>
  <si>
    <t>800 亿：Z - 箍缩混合堆核心，单台驱动器成本超 20 亿元，2035 年全球需求超 40 台</t>
  </si>
  <si>
    <t>10 分</t>
  </si>
  <si>
    <t>全球超 8.3%，上升时间 180ns 未达满分；国内未达标，差距 10MA 扣 30 分</t>
  </si>
  <si>
    <t>重复频率</t>
  </si>
  <si>
    <t>≥0.1Hz</t>
  </si>
  <si>
    <t>≥0.2Hz 且寿命≥3×10⁶次</t>
  </si>
  <si>
    <t>0.12Hz</t>
  </si>
  <si>
    <t>美国 Sandia 实验室</t>
  </si>
  <si>
    <t>0.08Hz</t>
  </si>
  <si>
    <t>先觉聚能</t>
  </si>
  <si>
    <t>全球超 20%，寿命 2×10⁶次不足；国内未达标，差距 0.02Hz 扣 25 分</t>
  </si>
  <si>
    <t>能量输出效率</t>
  </si>
  <si>
    <t>≥90% 且无能量损耗波动</t>
  </si>
  <si>
    <t>俄罗斯库尔恰托夫研究院</t>
  </si>
  <si>
    <t>中物院流体物理研究所</t>
  </si>
  <si>
    <t>全球超 2.4%，波动 ±3% 超标；国内未达标，差距 3% 扣 22 分</t>
  </si>
  <si>
    <t>FRC 真空开关与电容</t>
  </si>
  <si>
    <t>真空开关通流能力</t>
  </si>
  <si>
    <t>≥60kA</t>
  </si>
  <si>
    <t>≥80kA 且击穿响应≤10ns</t>
  </si>
  <si>
    <t>68kA</t>
  </si>
  <si>
    <t>美国 Helion Energy、俄罗斯 Techsnabexport</t>
  </si>
  <si>
    <t>55kA</t>
  </si>
  <si>
    <t>国力股份、旭光电子</t>
  </si>
  <si>
    <t>300 亿：FRC 形成区电源核心，单台装置需求超 50 套，2035 年商用堆带动需求爆发</t>
  </si>
  <si>
    <t>全球超 13.3%，响应 15ns 未达满分；国内未达标，差距 5kA 扣 18 分</t>
  </si>
  <si>
    <t>脉冲电容储能密度</t>
  </si>
  <si>
    <t>≥80kJ</t>
  </si>
  <si>
    <t>≥100kJ 且耐电压≥45kV</t>
  </si>
  <si>
    <t>90kJ</t>
  </si>
  <si>
    <t>美国 Maxwell、德国西门子</t>
  </si>
  <si>
    <t>70kJ</t>
  </si>
  <si>
    <t>王子新材（宁波新容）、铜峰电子</t>
  </si>
  <si>
    <t>全球超 12.5%，耐电压 42kV 不足；国内未达标，差距 10kJ 扣 25 分</t>
  </si>
  <si>
    <t>电容充放电寿命</t>
  </si>
  <si>
    <t>≥1×10⁴次</t>
  </si>
  <si>
    <t>≥2×10⁴次且容量衰减≤5%</t>
  </si>
  <si>
    <t>1.5×10⁴次</t>
  </si>
  <si>
    <t>美国 Maxwell</t>
  </si>
  <si>
    <t>1×10⁴次</t>
  </si>
  <si>
    <t>王子新材</t>
  </si>
  <si>
    <t>全球超 50%，衰减 8% 超标；国内刚达标扣 20 分</t>
  </si>
  <si>
    <t>氦质谱检漏设备</t>
  </si>
  <si>
    <t>最小检漏率</t>
  </si>
  <si>
    <t>≤10⁻¹²Pa·m³/s</t>
  </si>
  <si>
    <t>≤5×10⁻¹³Pa・m³/s 且检测范围≥10⁻³~10⁻¹³Pa・m³/s</t>
  </si>
  <si>
    <t>8×10⁻¹³Pa·m³/s</t>
  </si>
  <si>
    <t>德国莱宝、美国 Varian</t>
  </si>
  <si>
    <t>5×10⁻¹³Pa·m³/s</t>
  </si>
  <si>
    <t>皖仪科技、中科科仪</t>
  </si>
  <si>
    <t>200 亿：聚变装置真空检测刚需，单台装置需求超 10 套，2035 年全球检测设备市场超 200 亿</t>
  </si>
  <si>
    <t>全球达标，检测范围 10⁻⁴~10⁻¹³Pa・m³/s 不足；国内达满分阈值，无全范围验证扣 8 分</t>
  </si>
  <si>
    <t>检测响应时间</t>
  </si>
  <si>
    <t>≤1s</t>
  </si>
  <si>
    <t>≤0.5s 且稳定性≤±1%</t>
  </si>
  <si>
    <t>0.8s</t>
  </si>
  <si>
    <t>德国莱宝</t>
  </si>
  <si>
    <t>1s</t>
  </si>
  <si>
    <t>皖仪科技</t>
  </si>
  <si>
    <t>全球超 40%，稳定性 ±2% 超标；国内刚达标扣 20 分</t>
  </si>
  <si>
    <t>耐辐照剂量</t>
  </si>
  <si>
    <t>≥10⁶Gy</t>
  </si>
  <si>
    <t>≥1.2×10⁶Gy 且无性能衰减</t>
  </si>
  <si>
    <t>1.1×10⁶Gy</t>
  </si>
  <si>
    <t>美国 Varian</t>
  </si>
  <si>
    <t>1.0×10⁶Gy</t>
  </si>
  <si>
    <t>全球超 10%，衰减 3% 超标；国内刚达标扣 15 分</t>
  </si>
  <si>
    <t>高温超导集束缆线（REBCO）</t>
  </si>
  <si>
    <t>单根长度</t>
  </si>
  <si>
    <t>≥100m</t>
  </si>
  <si>
    <t>≥200m 且载流能力≥1.5kA（20K）</t>
  </si>
  <si>
    <t>150m</t>
  </si>
  <si>
    <t>美国 CFS、联创光电</t>
  </si>
  <si>
    <t>101.3m</t>
  </si>
  <si>
    <t>联创光电（联创超导）、上海超导</t>
  </si>
  <si>
    <t>400 亿：高温超导磁体核心组件，单台商用堆需求超 100km，2035 年国产化率超 70%</t>
  </si>
  <si>
    <t>全球超 50%，载流 1.2kA 未达满分；国内刚达标，载流 1.0kA 扣 20 分</t>
  </si>
  <si>
    <t>载流能力（20K，2T）</t>
  </si>
  <si>
    <t>≥1.0kA</t>
  </si>
  <si>
    <t>≥1.8kA 且电流波动≤±2%</t>
  </si>
  <si>
    <t>1.5kA</t>
  </si>
  <si>
    <t>美国 CFS</t>
  </si>
  <si>
    <t>1.2kA</t>
  </si>
  <si>
    <t>联创光电、永鼎股份（东部超导）</t>
  </si>
  <si>
    <t>全球超 50%，波动 ±3% 超标；国内超 20% 扣 18 分</t>
  </si>
  <si>
    <t>弯曲性能（弯曲半径）</t>
  </si>
  <si>
    <t>≤0.5m</t>
  </si>
  <si>
    <t>≤0.3m 且无性能损耗</t>
  </si>
  <si>
    <t>0.4m</t>
  </si>
  <si>
    <t>日本住友电工</t>
  </si>
  <si>
    <t>0.5m</t>
  </si>
  <si>
    <t>永鼎股份</t>
  </si>
  <si>
    <t>全球超 25%，损耗 2% 超标；国内刚达标扣 20 分</t>
  </si>
  <si>
    <t>哈氏合金基带（C276）</t>
  </si>
  <si>
    <t>杂质含量（C/S/O）</t>
  </si>
  <si>
    <t>C≤0.01%、S≤0.001%、O≤0.002%</t>
  </si>
  <si>
    <t>C≤0.005%、S≤0.0005%、O≤0.001%</t>
  </si>
  <si>
    <t>C0.008%、S0.0008%、O0.0015%</t>
  </si>
  <si>
    <t>美国 Haynes、德国 ThyssenKrupp</t>
  </si>
  <si>
    <t>C0.006%、S0.0006%、O0.0012%</t>
  </si>
  <si>
    <t>中科院金属研究所、宝钢股份</t>
  </si>
  <si>
    <t>150 亿：二代高温超导带材核心衬底，2035 年全球需求超 5000 吨，国产化率超 80%</t>
  </si>
  <si>
    <t>全球接近满分，氧含量超标；国内氧含量接近满分，扣 10 分</t>
  </si>
  <si>
    <t>厚度精度</t>
  </si>
  <si>
    <t>≤0.05mm</t>
  </si>
  <si>
    <t>≤0.04mm 且厚度波动≤±5%</t>
  </si>
  <si>
    <t>0.046mm</t>
  </si>
  <si>
    <t>美国 Haynes</t>
  </si>
  <si>
    <t>中科院金属研究所</t>
  </si>
  <si>
    <t>全球、国内均超 15%，波动 ±6% 超标扣 15 分</t>
  </si>
  <si>
    <t>表面粗糙度</t>
  </si>
  <si>
    <t>≤30nm</t>
  </si>
  <si>
    <t>≤20nm 且光洁度 Ra≤5nm</t>
  </si>
  <si>
    <t>25nm</t>
  </si>
  <si>
    <t>德国 ThyssenKrupp</t>
  </si>
  <si>
    <t>20nm</t>
  </si>
  <si>
    <t>全球超 25%，光洁度 Ra6nm 超标；国内达满分阈值扣 10 分</t>
  </si>
  <si>
    <t>电磁弹射超导磁体</t>
  </si>
  <si>
    <t>磁场强度（稳态）</t>
  </si>
  <si>
    <t>≥15T</t>
  </si>
  <si>
    <t>≥20T 且弹射加速度≤1g</t>
  </si>
  <si>
    <t>18T</t>
  </si>
  <si>
    <t>美国 General Atomics、联创光电</t>
  </si>
  <si>
    <t>15T</t>
  </si>
  <si>
    <t>联创光电（联创超导）、航天科技集团</t>
  </si>
  <si>
    <t>600 亿：商业航天电磁弹射核心，2035 年全球需求超 100 套，国内占比超 40%</t>
  </si>
  <si>
    <t>全球超 20%，加速度 1.2g 超标；国内刚达标扣 20 分</t>
  </si>
  <si>
    <t>弹射效率</t>
  </si>
  <si>
    <t>≥90%</t>
  </si>
  <si>
    <t>≥95% 且无能量损耗</t>
  </si>
  <si>
    <t>美国 General Atomics</t>
  </si>
  <si>
    <t>联创光电</t>
  </si>
  <si>
    <t>全球超 2.2%，损耗 3% 超标；国内刚达标扣 20 分</t>
  </si>
  <si>
    <t>连续弹射次数</t>
  </si>
  <si>
    <t>≥100 次</t>
  </si>
  <si>
    <t>≥200 次且磁体无失超</t>
  </si>
  <si>
    <t>150 次</t>
  </si>
  <si>
    <t>120 次</t>
  </si>
  <si>
    <t>全球超 50%，失超率 1% 超标；国内超 20% 扣 18 分</t>
  </si>
  <si>
    <t>钨基复合材料（第一壁 / 偏滤器）</t>
  </si>
  <si>
    <t>热震性（温差耐受）</t>
  </si>
  <si>
    <t>≥1500℃/s</t>
  </si>
  <si>
    <t>≥2000℃/s 且 100 次循环无开裂</t>
  </si>
  <si>
    <t>1800℃/s</t>
  </si>
  <si>
    <t>德国 Plansee、安泰科技</t>
  </si>
  <si>
    <t>1600℃/s</t>
  </si>
  <si>
    <t>安泰科技、章源钨业</t>
  </si>
  <si>
    <t>全球超 20%，100 次循环后微开裂；国内超 6.7% 扣 18 分</t>
  </si>
  <si>
    <t>氚滞留率（原子分数）</t>
  </si>
  <si>
    <t>＜0.1%</t>
  </si>
  <si>
    <t>＜0.05% 且辐照后无增长</t>
  </si>
  <si>
    <t>日本 JAEA、安泰科技</t>
  </si>
  <si>
    <t>安泰科技、楚江新材（顶立科技）</t>
  </si>
  <si>
    <t>全球达标，辐照后增至 0.1% 超标；国内达标扣 12 分</t>
  </si>
  <si>
    <t>偏滤器（热沉材料 - 铜铬锆合金）</t>
  </si>
  <si>
    <t>热传导系数</t>
  </si>
  <si>
    <t>≥380W/(m·K)</t>
  </si>
  <si>
    <t>≥400W/(m・K) 且辐照后保持率≥90%</t>
  </si>
  <si>
    <t>390W/(m·K)</t>
  </si>
  <si>
    <t>美国 Olin、德国 KME</t>
  </si>
  <si>
    <t>385W/(m·K)</t>
  </si>
  <si>
    <t>楚江新材、中铝集团</t>
  </si>
  <si>
    <t>500 亿：偏滤器核心热沉，单台商用堆需求超 50 吨，2035 年全球需求超 2000 吨</t>
  </si>
  <si>
    <t>全球超 2.6%，保持率 85% 超标；国内超 1.3% 扣 15 分</t>
  </si>
  <si>
    <t>焊接精度</t>
  </si>
  <si>
    <t>≤10μm</t>
  </si>
  <si>
    <t>≤5μm 且无焊接缺陷</t>
  </si>
  <si>
    <t>8μm</t>
  </si>
  <si>
    <t>法国法马通、合锻智能</t>
  </si>
  <si>
    <t>10μm</t>
  </si>
  <si>
    <t>合锻智能、应流股份</t>
  </si>
  <si>
    <t>全球超 60%，缺陷率 0.5% 超标；国内刚达标扣 20 分</t>
  </si>
  <si>
    <t>低温制冷系统（氦气压缩机）</t>
  </si>
  <si>
    <t>氦气压缩机功率（4.2K）</t>
  </si>
  <si>
    <t>≥1.2MW</t>
  </si>
  <si>
    <t>≥1.5MW 且 COP≥0.25</t>
  </si>
  <si>
    <t>1.3MW</t>
  </si>
  <si>
    <t>美国 Chart、雪人股份</t>
  </si>
  <si>
    <t>1.0MW</t>
  </si>
  <si>
    <t>雪人股份、中泰股份</t>
  </si>
  <si>
    <t>全球超 8.3%，COP0.22 不足；国内未达标，差距 0.2MW 扣 25 分</t>
  </si>
  <si>
    <t>氦气纯度控制</t>
  </si>
  <si>
    <t>≥99.999%</t>
  </si>
  <si>
    <t>≥99.9999% 且无杂质带入</t>
  </si>
  <si>
    <t>德国林德、美国 Air Liquide</t>
  </si>
  <si>
    <t>中泰股份、杭氧股份</t>
  </si>
  <si>
    <t>全球超 50%，杂质带入 0.1ppm 超标；国内刚达标扣 15 分</t>
  </si>
  <si>
    <t>氚增殖材料（Li₄SiO₄）</t>
  </si>
  <si>
    <t>辐照肿胀率</t>
  </si>
  <si>
    <t>≤1%</t>
  </si>
  <si>
    <t>≤0.5% 且高温下无粉化</t>
  </si>
  <si>
    <t>日本东芝、中科院工程物理研究院</t>
  </si>
  <si>
    <t>中科院工程物理研究院、国光电气</t>
  </si>
  <si>
    <t>全球超 60%，高温下粉化率 2% 超标；国内超 80% 扣 15 分</t>
  </si>
  <si>
    <t>氚释放效率</t>
  </si>
  <si>
    <t>≥95% 且无延迟释放</t>
  </si>
  <si>
    <t>欧盟氚工厂、中国工程物理研究院</t>
  </si>
  <si>
    <t>中国工程物理研究院、中核集团</t>
  </si>
  <si>
    <t>全球超 2.2%，延迟释放 5% 超标；国内超 1.1% 扣 15 分</t>
  </si>
  <si>
    <t>半导体开关器件（SiC MOSFET）</t>
  </si>
  <si>
    <t>击穿电压</t>
  </si>
  <si>
    <t>≥1200V</t>
  </si>
  <si>
    <t>≥1700V 且比导通电阻≤3mΩ・cm²</t>
  </si>
  <si>
    <t>1500V</t>
  </si>
  <si>
    <t>美国 Wolfspeed、扬杰科技</t>
  </si>
  <si>
    <t>1200V</t>
  </si>
  <si>
    <t>扬杰科技、时代电气</t>
  </si>
  <si>
    <t>400 亿：FRC / 托卡马克电源核心，2035 年全球需求超 10 亿只，国产化率超 60%</t>
  </si>
  <si>
    <t>全球超 25%，比导通电阻 3.5mΩ・cm² 不足；国内刚达标扣 20 分</t>
  </si>
  <si>
    <t>开关频率</t>
  </si>
  <si>
    <t>≥100kHz</t>
  </si>
  <si>
    <t>≥200kHz 且开关损耗≤50mJ</t>
  </si>
  <si>
    <t>150kHz</t>
  </si>
  <si>
    <t>美国 Wolfspeed、斯达半导</t>
  </si>
  <si>
    <t>120kHz</t>
  </si>
  <si>
    <t>斯达半导、宏微科技</t>
  </si>
  <si>
    <t>全球超 50%，损耗 60mJ 超标；国内超 20% 扣 18 分</t>
  </si>
  <si>
    <t>≤10⁻¹²Pa・m³/s</t>
  </si>
  <si>
    <t>8×10⁻¹³Pa・m³/s</t>
  </si>
  <si>
    <t>5×10⁻¹³Pa・m³/s</t>
  </si>
  <si>
    <t>≥380W/(m・K)</t>
  </si>
  <si>
    <t>390W/(m・K)</t>
  </si>
  <si>
    <t>385W/(m・K)</t>
  </si>
  <si>
    <t>低温超导材料（Nb₃Sn）</t>
  </si>
  <si>
    <t>临界电流密度 Jc（4.2K，12T）</t>
  </si>
  <si>
    <t>＞1000 A/mm²</t>
  </si>
  <si>
    <t>≥1300 A/mm² 且量产波动≤±3%</t>
  </si>
  <si>
    <t>1200 A/mm²</t>
  </si>
  <si>
    <t>西部超导、美国超导</t>
  </si>
  <si>
    <t>西部超导</t>
  </si>
  <si>
    <t>300 亿：ITER 等大型项目核心耗材，国内市场以 NbTi/Nb₃Sn 为主，高性能型号需求稳定增长</t>
  </si>
  <si>
    <t>达标且超 20%，但未达满分余量，量产波动 ±5%，扣 10 分</t>
  </si>
  <si>
    <t>单根无缺陷长度</t>
  </si>
  <si>
    <t>≥10km</t>
  </si>
  <si>
    <t>≥15km 且无断点率 100%</t>
  </si>
  <si>
    <t>2.5km</t>
  </si>
  <si>
    <t>仅达 25% 合格线，无长距离工程验证，扣 20 分</t>
  </si>
  <si>
    <t>规模化良率</t>
  </si>
  <si>
    <t>≥95% 且连续量产 3 个月稳定</t>
  </si>
  <si>
    <t>美国超导</t>
  </si>
  <si>
    <t>全球达标超 3%，国内刚达标，均未达满分稳定量产标准，按实际值折算</t>
  </si>
  <si>
    <t>高温超导材料（REBCO/YBCO）</t>
  </si>
  <si>
    <t>临界电流密度 Jc（77K，自场）</t>
  </si>
  <si>
    <t>≥3000 A/mm²</t>
  </si>
  <si>
    <t>≥4000 A/mm² 且液氮环境下稳定 1000h</t>
  </si>
  <si>
    <t>3500 A/mm²</t>
  </si>
  <si>
    <t>2500 A/mm²</t>
  </si>
  <si>
    <t>永鼎股份（东部超导）</t>
  </si>
  <si>
    <t>5000 亿 +：磁体系统核心材料，2035 年随商用堆落地爆发，国产替代空间超 80%，金属基带依赖进口</t>
  </si>
  <si>
    <t>全球超 17%，无长期稳定性验证；国内未达标，按差距折算</t>
  </si>
  <si>
    <t>临界电流密度 Jc（77K，1T）</t>
  </si>
  <si>
    <t>＞1 MA/cm²</t>
  </si>
  <si>
    <t>≥2 MA/cm² 且磁场适配性无衰减</t>
  </si>
  <si>
    <t>1.5 MA/cm²</t>
  </si>
  <si>
    <t>1.2 MA/cm²</t>
  </si>
  <si>
    <t>65 分</t>
  </si>
  <si>
    <t>中科院金属所</t>
  </si>
  <si>
    <t>全球超 50% 但距标杆差 50%，国内超 20%，均无磁场适配验证，扣减对应分数</t>
  </si>
  <si>
    <t>生产成本</t>
  </si>
  <si>
    <t>≤$10/kA・m（≤500 元 /m）</t>
  </si>
  <si>
    <t>≤$5/kA・m（≤300 元 /m）且批量可控</t>
  </si>
  <si>
    <t>$50/kA・m（480 元 /m）</t>
  </si>
  <si>
    <t>40 分</t>
  </si>
  <si>
    <t>美国 SuperPower</t>
  </si>
  <si>
    <t>$100/kA・m（600 元 /m）</t>
  </si>
  <si>
    <t>30 分</t>
  </si>
  <si>
    <t>全球接近合格线，国内未达标，距满分成本差距极大，低分折算</t>
  </si>
  <si>
    <t>抗拉强度（基带，液氮温度）</t>
  </si>
  <si>
    <t>＞1000 MPa</t>
  </si>
  <si>
    <t>≥1500 MPa 且韧性无损耗</t>
  </si>
  <si>
    <t>700 MPa</t>
  </si>
  <si>
    <t>60 分</t>
  </si>
  <si>
    <t>1900 MPa（基带）</t>
  </si>
  <si>
    <t>全球未达标，国内超 90% 但韧性未达标杆要求，扣 15 分</t>
  </si>
  <si>
    <t>第一壁 / 偏滤器材料（钨基复合材料）</t>
  </si>
  <si>
    <t>热负荷耐受（瞬态）</t>
  </si>
  <si>
    <t>＞20 MW/m²</t>
  </si>
  <si>
    <t>≥30 MW/m² 且耐受次数≥1000 次</t>
  </si>
  <si>
    <t>25 MW/m²</t>
  </si>
  <si>
    <t>ITER（实验目标）</t>
  </si>
  <si>
    <t>20 MW/m²</t>
  </si>
  <si>
    <t>安泰科技</t>
  </si>
  <si>
    <t>3000 亿：无替代材料，单台商用堆需求超 500 吨，市占率集中，价值量高</t>
  </si>
  <si>
    <t>全球超 25%，国内刚达标，均未达满分耐受次数，扣减对应分数</t>
  </si>
  <si>
    <t>热负荷耐受（稳态）</t>
  </si>
  <si>
    <t>≥14 MW/m²</t>
  </si>
  <si>
    <t>≥18 MW/m² 且连续运行≥1000h</t>
  </si>
  <si>
    <t>14 MW/m²</t>
  </si>
  <si>
    <t>德国 Plansee</t>
  </si>
  <si>
    <t>12 MW/m²</t>
  </si>
  <si>
    <t>章源钨业</t>
  </si>
  <si>
    <t>全球刚达标无余量，无长期稳态验证；国内未达标，按差距折算</t>
  </si>
  <si>
    <t>抗中子辐照损伤率</t>
  </si>
  <si>
    <t>＜0.1 dpa/MWa/m²</t>
  </si>
  <si>
    <t>＜0.05 dpa/MWa/m² 且无脆化</t>
  </si>
  <si>
    <t>0.2 dpa/MWa/m²</t>
  </si>
  <si>
    <t>欧洲 EUROfusion</t>
  </si>
  <si>
    <t>0.3 dpa/MWa/m²</t>
  </si>
  <si>
    <t>全球、国内均未达标，全球差距小扣 25 分，国内差距大扣 30 分</t>
  </si>
  <si>
    <t>＜1%</t>
  </si>
  <si>
    <t>＜0.5% 且无氚渗透</t>
  </si>
  <si>
    <t>德国马普等离子体所</t>
  </si>
  <si>
    <t>楚江新材</t>
  </si>
  <si>
    <t>全球、国内均未达标，按超标倍数折算扣分</t>
  </si>
  <si>
    <t>氚增殖材料（Li₄SiO₄/Li₂TiO₃）</t>
  </si>
  <si>
    <t>氚增殖比 TBR（自持运行）</t>
  </si>
  <si>
    <t>＞1.1</t>
  </si>
  <si>
    <t>≥1.3 且长期自持无衰减</t>
  </si>
  <si>
    <t>1.25（工程验证）</t>
  </si>
  <si>
    <t>日本东芝</t>
  </si>
  <si>
    <t>1.08（工程验证）</t>
  </si>
  <si>
    <t>中科院工程物理研究院</t>
  </si>
  <si>
    <t>2500 亿：氚自持核心，单台商用堆包层需求超 200 吨，技术壁垒极高，依赖工程验证</t>
  </si>
  <si>
    <t>全球超 13.6%，未达满分余量；国内未达标，接近合格线扣 25 分</t>
  </si>
  <si>
    <t>氚提取与纯化效率</t>
  </si>
  <si>
    <t>＞99%</t>
  </si>
  <si>
    <t>≥99.9% 且无杂质残留</t>
  </si>
  <si>
    <t>欧盟氚工厂</t>
  </si>
  <si>
    <t>中国工程物理研究院</t>
  </si>
  <si>
    <t>全球接近达标，提纯纯度高；国内差距 8%，按纯度差距折算</t>
  </si>
  <si>
    <t>服役寿命</t>
  </si>
  <si>
    <t>≥20 年</t>
  </si>
  <si>
    <t>≥30 年且性能保留率≥90%</t>
  </si>
  <si>
    <t>20 年</t>
  </si>
  <si>
    <t>欧洲法马通</t>
  </si>
  <si>
    <t>12 年</t>
  </si>
  <si>
    <t>国光电气</t>
  </si>
  <si>
    <t>全球刚达标无余量，无长期性能保留验证；国内仅达 60%，扣 35 分</t>
  </si>
  <si>
    <t>中子吸收截面</t>
  </si>
  <si>
    <t>≤0.1b</t>
  </si>
  <si>
    <t>≤0.06b 且适配堆型无干扰</t>
  </si>
  <si>
    <t>0.08b</t>
  </si>
  <si>
    <t>0.09b</t>
  </si>
  <si>
    <t>中科院合肥物质院</t>
  </si>
  <si>
    <t>全球、国内均达标，距满分阈值有差距，无堆型适配验证，扣 10-12 分</t>
  </si>
  <si>
    <t>低活化结构钢（RAFM 钢）</t>
  </si>
  <si>
    <t>中子辐照肿胀率（100dpa）</t>
  </si>
  <si>
    <t>≤0.5%</t>
  </si>
  <si>
    <t>≤0.3% 且无结构变形</t>
  </si>
  <si>
    <t>日本 JAEA（F82H 钢）</t>
  </si>
  <si>
    <t>核工业西南物理研究院（CLF-1 钢）</t>
  </si>
  <si>
    <t>2000 亿：反应堆结构主体材料，无替代方案，单台商用堆需求超 1000 吨，量产一致性是关键</t>
  </si>
  <si>
    <t>全球达标且优于 20%，无结构变形验证；国内未达标，差距 0.3% 扣 30 分</t>
  </si>
  <si>
    <t>抗拉强度</t>
  </si>
  <si>
    <t>≥600MPa</t>
  </si>
  <si>
    <t>≥700MPa 且低温环境稳定</t>
  </si>
  <si>
    <t>650MPa</t>
  </si>
  <si>
    <t>欧洲 EFDA</t>
  </si>
  <si>
    <t>620MPa</t>
  </si>
  <si>
    <t>河钢股份</t>
  </si>
  <si>
    <t>全球超 8.3%，国内超 3.3%，均未达满分强度且无低温验证，按差距折算</t>
  </si>
  <si>
    <t>焊接接头韧性</t>
  </si>
  <si>
    <t>≥100J</t>
  </si>
  <si>
    <t>≥150J 且焊接无裂纹</t>
  </si>
  <si>
    <t>120J</t>
  </si>
  <si>
    <t>日本 JAEA</t>
  </si>
  <si>
    <t>80J</t>
  </si>
  <si>
    <t>核工业西南物理研究院</t>
  </si>
  <si>
    <t>全球超 20%，无焊接无裂纹验证；国内未达标，扣 30 分</t>
  </si>
  <si>
    <t>延伸率</t>
  </si>
  <si>
    <t>≥20%</t>
  </si>
  <si>
    <t>≥25% 且均匀延伸无局部断裂</t>
  </si>
  <si>
    <t>全球超 10%，国内超 5%，均未达满分延伸率，按差距折算</t>
  </si>
  <si>
    <t>高温超导磁体组件</t>
  </si>
  <si>
    <t>≥20T</t>
  </si>
  <si>
    <t>≥25T 且稳态运行≥1000h</t>
  </si>
  <si>
    <t>22T</t>
  </si>
  <si>
    <t>美国通用原子</t>
  </si>
  <si>
    <t>1800 亿：聚变装置 “心脏”，单台商用堆需 4-6 台，技术集成度高，绑定超导带材企业</t>
  </si>
  <si>
    <t>全球超 10%，稳态运行时间不足；国内未达标，差距 5T 扣 40 分</t>
  </si>
  <si>
    <t>失超恢复时间</t>
  </si>
  <si>
    <t>≤100ms</t>
  </si>
  <si>
    <t>≤50ms 且恢复后性能无损耗</t>
  </si>
  <si>
    <t>80ms</t>
  </si>
  <si>
    <t>日本三菱</t>
  </si>
  <si>
    <t>200ms</t>
  </si>
  <si>
    <t>55 分</t>
  </si>
  <si>
    <t>全球达标且优于 20%，恢复后性能有衰减；国内未达标，差距 100ms 扣 45 分</t>
  </si>
  <si>
    <t>单台成本</t>
  </si>
  <si>
    <t>≤15 亿元</t>
  </si>
  <si>
    <t>≤10 亿元且核心部件自主化</t>
  </si>
  <si>
    <t>18 亿元</t>
  </si>
  <si>
    <t>50 亿元</t>
  </si>
  <si>
    <t>全球未达标，差距 3 亿；国内差距极大，核心部件依赖进口，低分折算</t>
  </si>
  <si>
    <t>连续运行时间</t>
  </si>
  <si>
    <t>≥8760h</t>
  </si>
  <si>
    <t>≥12000h 且无故障停机</t>
  </si>
  <si>
    <t>8760h</t>
  </si>
  <si>
    <t>6000h</t>
  </si>
  <si>
    <t>全球刚达标无余量，无无故障验证；国内仅达 68.5%，扣 35 分</t>
  </si>
  <si>
    <t>超高真空系统（真空室 / 设备）</t>
  </si>
  <si>
    <t>极限真空度</t>
  </si>
  <si>
    <t>≤10⁻¹⁰Pa 且真空保持≥1000h</t>
  </si>
  <si>
    <t>10⁻⁹Pa</t>
  </si>
  <si>
    <t>德国莱宝、国光电气</t>
  </si>
  <si>
    <t>1200 亿：聚变装置 “密闭外壳”，单台真空室成本超 20 亿元，国内企业已实现技术突破</t>
  </si>
  <si>
    <t>全球、国内均达标且优于 10 倍，真空保持时间不足，扣 10 分</t>
  </si>
  <si>
    <t>泄漏率</t>
  </si>
  <si>
    <t>≤5×10⁻¹³Pa・m³/s 且长期稳定</t>
  </si>
  <si>
    <t>合锻智能</t>
  </si>
  <si>
    <t>全球、国内均达标，国内达满分阈值但无长期稳定验证，扣 8 分；全球距阈值有差距扣 10 分</t>
  </si>
  <si>
    <t>真空室几何精度（大尺寸）</t>
  </si>
  <si>
    <t>±1mm</t>
  </si>
  <si>
    <t>±0.3mm 且整体适配无偏差</t>
  </si>
  <si>
    <t>±0.5mm（ITER）</t>
  </si>
  <si>
    <t>合锻智能（BEST 真空室）</t>
  </si>
  <si>
    <t>全球达标且优于 50%，无整体适配验证；国内刚达标无余量，扣 20 分</t>
  </si>
  <si>
    <t>≥1.5×10⁶Gy 且无性能衰减</t>
  </si>
  <si>
    <t>1.2×10⁶Gy</t>
  </si>
  <si>
    <t>中泰股份</t>
  </si>
  <si>
    <t>全球超 20%，国内刚达标，均无性能衰减验证，按差距折算</t>
  </si>
  <si>
    <t>氦制冷系统（低温制冷设备）</t>
  </si>
  <si>
    <t>制冷功率（4.2K）</t>
  </si>
  <si>
    <t>≥10kW</t>
  </si>
  <si>
    <t>≥15kW 且能耗无波动</t>
  </si>
  <si>
    <t>12kW</t>
  </si>
  <si>
    <t>美国 Chart</t>
  </si>
  <si>
    <t>8kW</t>
  </si>
  <si>
    <t>雪人股份</t>
  </si>
  <si>
    <t>800 亿：保障超导磁体运行，单台成本超 15 亿元，国内已实现进口替代</t>
  </si>
  <si>
    <t>全球超 20%，能耗有波动；国内未达标，差距 2kW 扣 28 分</t>
  </si>
  <si>
    <t>能耗效率 COP</t>
  </si>
  <si>
    <t>≥0.2</t>
  </si>
  <si>
    <t>≥0.3 且全工况稳定</t>
  </si>
  <si>
    <t>德国林德</t>
  </si>
  <si>
    <t>全球超 10%，国内未达标，均未达满分效率且无全工况验证，按差距折算</t>
  </si>
  <si>
    <t>≥12000h 且无故障</t>
  </si>
  <si>
    <t>7000h</t>
  </si>
  <si>
    <t>全球刚达标无余量，无无故障验证；国内达 80%，扣 25 分</t>
  </si>
  <si>
    <t>故障率</t>
  </si>
  <si>
    <t>≤0.1 次 / 年</t>
  </si>
  <si>
    <t>≤0.05 次 / 年且故障修复≤2h</t>
  </si>
  <si>
    <t>0.08 次 / 年</t>
  </si>
  <si>
    <t>0.15 次 / 年</t>
  </si>
  <si>
    <t>全球达标且优于 20%，修复时间超标；国内未达标，差距 0.05 次扣 30 分</t>
  </si>
  <si>
    <t>锂 - 6 提纯材料</t>
  </si>
  <si>
    <t>纯度</t>
  </si>
  <si>
    <t>≥99.995%</t>
  </si>
  <si>
    <t>≥99.999% 且无杂质超标</t>
  </si>
  <si>
    <t>美国卡梅伦</t>
  </si>
  <si>
    <t>中矿资源</t>
  </si>
  <si>
    <t>500 亿：氚生产核心原料，全球年产量不足 1 吨，商用堆落地后需求爆发</t>
  </si>
  <si>
    <t>全球超 0.003%，国内刚达标，均未达满分纯度，扣 10-12 分</t>
  </si>
  <si>
    <t>规模化产能</t>
  </si>
  <si>
    <t>≥500kg / 年</t>
  </si>
  <si>
    <t>≥1000kg / 年且连续量产</t>
  </si>
  <si>
    <t>800kg / 年</t>
  </si>
  <si>
    <t>俄罗斯 Techsnabexport</t>
  </si>
  <si>
    <t>300kg / 年</t>
  </si>
  <si>
    <t>全球超 60%，无连续量产验证；国内未达标，差距 200kg 扣 30 分</t>
  </si>
  <si>
    <t>提取效率</t>
  </si>
  <si>
    <t>≥98%</t>
  </si>
  <si>
    <t>≥99.5% 且无原料浪费</t>
  </si>
  <si>
    <t>全球超 1%，国内刚达标，均未达满分效率，扣 12-15 分</t>
  </si>
  <si>
    <t>成本</t>
  </si>
  <si>
    <t>≤500 万元 /kg</t>
  </si>
  <si>
    <t>≤400 万元 /kg 且成本可控</t>
  </si>
  <si>
    <t>480 万元 /kg</t>
  </si>
  <si>
    <t>550 万元 /kg</t>
  </si>
  <si>
    <t>全球达标且优于 4%，国内未达标，均未达满分成本，扣 12-25 分</t>
  </si>
  <si>
    <t>电源系统（FRC 脉冲高压电源）</t>
  </si>
  <si>
    <t>输出电压 / 能量 / 电流 / 重复频率</t>
  </si>
  <si>
    <t>40kV/80kJ/10kA/＞10Hz</t>
  </si>
  <si>
    <t>50kV/100kJ/15kA/＞15Hz 且同步稳定</t>
  </si>
  <si>
    <t>30kV/50kJ/5kA/5Hz</t>
  </si>
  <si>
    <t>美国 Helion Energy</t>
  </si>
  <si>
    <t>20kV/30kJ/3kA/2Hz</t>
  </si>
  <si>
    <t>瀚海聚能</t>
  </si>
  <si>
    <t>500 亿：FRC 路线核心设备，价值占比 60-70%，随路线商业化推进需求释放</t>
  </si>
  <si>
    <t>全球、国内均未达标，核心参数差距大，按参数匹配度折算</t>
  </si>
  <si>
    <t>电流波形精度</t>
  </si>
  <si>
    <t>±1%</t>
  </si>
  <si>
    <t>±0.5% 且全量程稳定</t>
  </si>
  <si>
    <t>±5%</t>
  </si>
  <si>
    <t>新风光、英杰电气</t>
  </si>
  <si>
    <t>全球、国内均未达标，距合格线有差距，无全量程验证，扣 25 分</t>
  </si>
  <si>
    <t>连续运行稳定性</t>
  </si>
  <si>
    <t>≥8000h</t>
  </si>
  <si>
    <t>≥10000h 且无参数漂移</t>
  </si>
  <si>
    <t>5000h</t>
  </si>
  <si>
    <t>全球、国内均未达标，按运行时长匹配度折算</t>
  </si>
  <si>
    <t>系统可靠性（故障率）</t>
  </si>
  <si>
    <t>≤0.2 次 / 年</t>
  </si>
  <si>
    <t>≤0.1 次 / 年且无重大故障</t>
  </si>
  <si>
    <t>0.3 次 / 年</t>
  </si>
  <si>
    <t>英杰电气</t>
  </si>
  <si>
    <t>0.4 次 / 年</t>
  </si>
  <si>
    <t>新风光</t>
  </si>
  <si>
    <t>全球、国内均未达标，按故障率差距折算</t>
  </si>
  <si>
    <t>电源系统（托卡马克专用电源）</t>
  </si>
  <si>
    <t>环向磁体电源输出电流（稳态）</t>
  </si>
  <si>
    <t>≥50kA</t>
  </si>
  <si>
    <t>≥80kA 且电流稳定性≤±0.1ppm/h</t>
  </si>
  <si>
    <t>65kA</t>
  </si>
  <si>
    <t>德国西门子、美国通用原子</t>
  </si>
  <si>
    <t>50kA</t>
  </si>
  <si>
    <t>东方中科、爱科赛博</t>
  </si>
  <si>
    <t>1200 亿：托卡马克核心电源，价值占比 15%，单台商用堆需求超 50 套，适配 CFETR/DEMO 堆</t>
  </si>
  <si>
    <t>全球达标超 30%，稳定性仅 ±0.5ppm/h 未达满分；国内刚达标，稳定性差距大，扣 20 分</t>
  </si>
  <si>
    <t>国内成绩打分（100制）</t>
  </si>
  <si>
    <t>国内平均分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</si>
</sst>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2" xfId="0" applyFont="1" applyFill="1" applyBorder="1">
      <alignment vertical="center"/>
    </xf>
    <xf numFmtId="0" fontId="3" fillId="0" borderId="2" xfId="0" applyFont="1" applyBorder="1">
      <alignment vertical="center"/>
    </xf>
    <xf numFmtId="0" fontId="3" fillId="2" borderId="2" xfId="0" applyFont="1" applyFill="1" applyBorder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43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43" fontId="1" fillId="0" borderId="3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43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2" borderId="3" xfId="0" applyFill="1" applyBorder="1" applyAlignment="1">
      <alignment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9" fontId="0" fillId="2" borderId="3" xfId="0" applyNumberFormat="1" applyFill="1" applyBorder="1" applyAlignment="1">
      <alignment horizontal="left" vertical="center" wrapText="1"/>
    </xf>
    <xf numFmtId="9" fontId="2" fillId="2" borderId="3" xfId="0" applyNumberFormat="1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vertical="center" wrapText="1"/>
    </xf>
    <xf numFmtId="0" fontId="0" fillId="2" borderId="3" xfId="0" applyFill="1" applyBorder="1" applyAlignment="1">
      <alignment horizontal="center" vertical="center" wrapText="1"/>
    </xf>
    <xf numFmtId="43" fontId="0" fillId="2" borderId="3" xfId="0" applyNumberForma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9" fontId="0" fillId="2" borderId="3" xfId="0" applyNumberFormat="1" applyFill="1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10" fontId="0" fillId="0" borderId="3" xfId="0" applyNumberFormat="1" applyBorder="1" applyAlignment="1">
      <alignment horizontal="left" vertical="center" wrapText="1"/>
    </xf>
    <xf numFmtId="10" fontId="0" fillId="0" borderId="3" xfId="0" applyNumberFormat="1" applyBorder="1" applyAlignment="1">
      <alignment horizontal="left" vertical="center" wrapText="1"/>
    </xf>
    <xf numFmtId="10" fontId="0" fillId="2" borderId="3" xfId="0" applyNumberFormat="1" applyFill="1" applyBorder="1" applyAlignment="1">
      <alignment horizontal="left" vertical="center" wrapText="1"/>
    </xf>
    <xf numFmtId="10" fontId="0" fillId="2" borderId="3" xfId="0" applyNumberFormat="1" applyFill="1" applyBorder="1" applyAlignment="1">
      <alignment horizontal="left" vertical="center" wrapText="1"/>
    </xf>
    <xf numFmtId="9" fontId="0" fillId="0" borderId="3" xfId="0" applyNumberFormat="1" applyBorder="1" applyAlignment="1">
      <alignment horizontal="left" vertical="center" wrapText="1"/>
    </xf>
    <xf numFmtId="9" fontId="0" fillId="0" borderId="3" xfId="0" applyNumberFormat="1" applyBorder="1" applyAlignment="1">
      <alignment horizontal="left" vertical="center" wrapText="1"/>
    </xf>
    <xf numFmtId="9" fontId="0" fillId="0" borderId="2" xfId="0" applyNumberFormat="1" applyBorder="1">
      <alignment vertical="center"/>
    </xf>
    <xf numFmtId="9" fontId="0" fillId="2" borderId="2" xfId="0" applyNumberFormat="1" applyFill="1" applyBorder="1">
      <alignment vertical="center"/>
    </xf>
    <xf numFmtId="10" fontId="0" fillId="0" borderId="2" xfId="0" applyNumberFormat="1" applyBorder="1">
      <alignment vertical="center"/>
    </xf>
    <xf numFmtId="10" fontId="0" fillId="2" borderId="2" xfId="0" applyNumberForma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1"/>
  <sheetViews>
    <sheetView topLeftCell="A2" workbookViewId="0">
      <selection activeCell="A18" sqref="$A1:$XFD1048576"/>
    </sheetView>
  </sheetViews>
  <sheetFormatPr defaultColWidth="9.23076923076923" defaultRowHeight="16.8"/>
  <cols>
    <col min="1" max="1" width="39.4230769230769" customWidth="1"/>
    <col min="2" max="2" width="18.2596153846154" customWidth="1"/>
  </cols>
  <sheetData>
    <row r="1" ht="17.55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7.55" spans="1:1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17.55" spans="1:13">
      <c r="A3" s="3" t="s">
        <v>13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  <c r="J3" s="3" t="s">
        <v>34</v>
      </c>
      <c r="K3" s="3" t="s">
        <v>23</v>
      </c>
      <c r="L3" s="3" t="s">
        <v>35</v>
      </c>
      <c r="M3" s="3" t="s">
        <v>36</v>
      </c>
    </row>
    <row r="4" ht="17.55" spans="1:13">
      <c r="A4" s="2" t="s">
        <v>13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23</v>
      </c>
      <c r="L4" s="2" t="s">
        <v>24</v>
      </c>
      <c r="M4" s="2" t="s">
        <v>46</v>
      </c>
    </row>
    <row r="5" ht="17.55" spans="1:13">
      <c r="A5" s="3" t="s">
        <v>13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18</v>
      </c>
      <c r="G5" s="3" t="s">
        <v>19</v>
      </c>
      <c r="H5" s="3" t="s">
        <v>51</v>
      </c>
      <c r="I5" s="3" t="s">
        <v>52</v>
      </c>
      <c r="J5" s="3" t="s">
        <v>53</v>
      </c>
      <c r="K5" s="3" t="s">
        <v>23</v>
      </c>
      <c r="L5" s="3" t="s">
        <v>54</v>
      </c>
      <c r="M5" s="3" t="s">
        <v>55</v>
      </c>
    </row>
    <row r="6" ht="17.55" spans="1:13">
      <c r="A6" s="2" t="s">
        <v>13</v>
      </c>
      <c r="B6" s="2" t="s">
        <v>56</v>
      </c>
      <c r="C6" s="2" t="s">
        <v>57</v>
      </c>
      <c r="D6" s="2" t="s">
        <v>58</v>
      </c>
      <c r="E6" s="2" t="s">
        <v>59</v>
      </c>
      <c r="F6" s="2" t="s">
        <v>18</v>
      </c>
      <c r="G6" s="2" t="s">
        <v>60</v>
      </c>
      <c r="H6" s="2" t="s">
        <v>61</v>
      </c>
      <c r="I6" s="2" t="s">
        <v>44</v>
      </c>
      <c r="J6" s="2" t="s">
        <v>62</v>
      </c>
      <c r="K6" s="2" t="s">
        <v>23</v>
      </c>
      <c r="L6" s="2" t="s">
        <v>24</v>
      </c>
      <c r="M6" s="2" t="s">
        <v>63</v>
      </c>
    </row>
    <row r="7" ht="17.55" spans="1:13">
      <c r="A7" s="3" t="s">
        <v>13</v>
      </c>
      <c r="B7" s="3" t="s">
        <v>64</v>
      </c>
      <c r="C7" s="3" t="s">
        <v>65</v>
      </c>
      <c r="D7" s="3" t="s">
        <v>66</v>
      </c>
      <c r="E7" s="3" t="s">
        <v>67</v>
      </c>
      <c r="F7" s="3" t="s">
        <v>21</v>
      </c>
      <c r="G7" s="3" t="s">
        <v>68</v>
      </c>
      <c r="H7" s="3" t="s">
        <v>67</v>
      </c>
      <c r="I7" s="3" t="s">
        <v>21</v>
      </c>
      <c r="J7" s="3" t="s">
        <v>69</v>
      </c>
      <c r="K7" s="3" t="s">
        <v>23</v>
      </c>
      <c r="L7" s="3" t="s">
        <v>35</v>
      </c>
      <c r="M7" s="3" t="s">
        <v>70</v>
      </c>
    </row>
    <row r="8" ht="17.55" spans="1:13">
      <c r="A8" s="2" t="s">
        <v>13</v>
      </c>
      <c r="B8" s="2" t="s">
        <v>71</v>
      </c>
      <c r="C8" s="2" t="s">
        <v>72</v>
      </c>
      <c r="D8" s="2" t="s">
        <v>73</v>
      </c>
      <c r="E8" s="41">
        <v>0.92</v>
      </c>
      <c r="F8" s="2" t="s">
        <v>74</v>
      </c>
      <c r="G8" s="2" t="s">
        <v>75</v>
      </c>
      <c r="H8" s="41">
        <v>0.85</v>
      </c>
      <c r="I8" s="2" t="s">
        <v>21</v>
      </c>
      <c r="J8" s="2" t="s">
        <v>76</v>
      </c>
      <c r="K8" s="2" t="s">
        <v>23</v>
      </c>
      <c r="L8" s="2" t="s">
        <v>77</v>
      </c>
      <c r="M8" s="2" t="s">
        <v>78</v>
      </c>
    </row>
    <row r="9" ht="17.55" spans="1:13">
      <c r="A9" s="3" t="s">
        <v>79</v>
      </c>
      <c r="B9" s="3" t="s">
        <v>80</v>
      </c>
      <c r="C9" s="3" t="s">
        <v>81</v>
      </c>
      <c r="D9" s="3" t="s">
        <v>82</v>
      </c>
      <c r="E9" s="3" t="s">
        <v>83</v>
      </c>
      <c r="F9" s="3" t="s">
        <v>18</v>
      </c>
      <c r="G9" s="3" t="s">
        <v>84</v>
      </c>
      <c r="H9" s="3" t="s">
        <v>85</v>
      </c>
      <c r="I9" s="3" t="s">
        <v>21</v>
      </c>
      <c r="J9" s="3" t="s">
        <v>86</v>
      </c>
      <c r="K9" s="3" t="s">
        <v>87</v>
      </c>
      <c r="L9" s="3" t="s">
        <v>24</v>
      </c>
      <c r="M9" s="3" t="s">
        <v>88</v>
      </c>
    </row>
    <row r="10" ht="17.55" spans="1:13">
      <c r="A10" s="2" t="s">
        <v>79</v>
      </c>
      <c r="B10" s="2" t="s">
        <v>89</v>
      </c>
      <c r="C10" s="2" t="s">
        <v>90</v>
      </c>
      <c r="D10" s="2" t="s">
        <v>91</v>
      </c>
      <c r="E10" s="2" t="s">
        <v>92</v>
      </c>
      <c r="F10" s="2" t="s">
        <v>21</v>
      </c>
      <c r="G10" s="2" t="s">
        <v>93</v>
      </c>
      <c r="H10" s="2" t="s">
        <v>94</v>
      </c>
      <c r="I10" s="2" t="s">
        <v>95</v>
      </c>
      <c r="J10" s="2" t="s">
        <v>96</v>
      </c>
      <c r="K10" s="2" t="s">
        <v>23</v>
      </c>
      <c r="L10" s="2" t="s">
        <v>35</v>
      </c>
      <c r="M10" s="2" t="s">
        <v>97</v>
      </c>
    </row>
    <row r="11" ht="17.55" spans="1:13">
      <c r="A11" s="3" t="s">
        <v>79</v>
      </c>
      <c r="B11" s="3" t="s">
        <v>98</v>
      </c>
      <c r="C11" s="3" t="s">
        <v>99</v>
      </c>
      <c r="D11" s="3" t="s">
        <v>100</v>
      </c>
      <c r="E11" s="3" t="s">
        <v>101</v>
      </c>
      <c r="F11" s="3" t="s">
        <v>30</v>
      </c>
      <c r="G11" s="3" t="s">
        <v>102</v>
      </c>
      <c r="H11" s="3" t="s">
        <v>103</v>
      </c>
      <c r="I11" s="3" t="s">
        <v>104</v>
      </c>
      <c r="J11" s="3" t="s">
        <v>86</v>
      </c>
      <c r="K11" s="3" t="s">
        <v>23</v>
      </c>
      <c r="L11" s="3" t="s">
        <v>54</v>
      </c>
      <c r="M11" s="3" t="s">
        <v>105</v>
      </c>
    </row>
    <row r="12" ht="17.55" spans="1:13">
      <c r="A12" s="2" t="s">
        <v>79</v>
      </c>
      <c r="B12" s="2" t="s">
        <v>106</v>
      </c>
      <c r="C12" s="2" t="s">
        <v>107</v>
      </c>
      <c r="D12" s="2" t="s">
        <v>108</v>
      </c>
      <c r="E12" s="2" t="s">
        <v>109</v>
      </c>
      <c r="F12" s="2" t="s">
        <v>18</v>
      </c>
      <c r="G12" s="2" t="s">
        <v>110</v>
      </c>
      <c r="H12" s="2" t="s">
        <v>111</v>
      </c>
      <c r="I12" s="2" t="s">
        <v>21</v>
      </c>
      <c r="J12" s="2" t="s">
        <v>112</v>
      </c>
      <c r="K12" s="2" t="s">
        <v>23</v>
      </c>
      <c r="L12" s="2" t="s">
        <v>54</v>
      </c>
      <c r="M12" s="2" t="s">
        <v>113</v>
      </c>
    </row>
    <row r="13" ht="17.55" spans="1:13">
      <c r="A13" s="3" t="s">
        <v>114</v>
      </c>
      <c r="B13" s="3" t="s">
        <v>115</v>
      </c>
      <c r="C13" s="3" t="s">
        <v>116</v>
      </c>
      <c r="D13" s="3" t="s">
        <v>117</v>
      </c>
      <c r="E13" s="3" t="s">
        <v>118</v>
      </c>
      <c r="F13" s="3" t="s">
        <v>21</v>
      </c>
      <c r="G13" s="3" t="s">
        <v>119</v>
      </c>
      <c r="H13" s="3" t="s">
        <v>120</v>
      </c>
      <c r="I13" s="3" t="s">
        <v>95</v>
      </c>
      <c r="J13" s="3" t="s">
        <v>121</v>
      </c>
      <c r="K13" s="3" t="s">
        <v>122</v>
      </c>
      <c r="L13" s="3" t="s">
        <v>123</v>
      </c>
      <c r="M13" s="3" t="s">
        <v>124</v>
      </c>
    </row>
    <row r="14" ht="17.55" spans="1:13">
      <c r="A14" s="2" t="s">
        <v>114</v>
      </c>
      <c r="B14" s="2" t="s">
        <v>125</v>
      </c>
      <c r="C14" s="2" t="s">
        <v>126</v>
      </c>
      <c r="D14" s="2" t="s">
        <v>127</v>
      </c>
      <c r="E14" s="2" t="s">
        <v>128</v>
      </c>
      <c r="F14" s="2" t="s">
        <v>30</v>
      </c>
      <c r="G14" s="2" t="s">
        <v>129</v>
      </c>
      <c r="H14" s="2" t="s">
        <v>130</v>
      </c>
      <c r="I14" s="2" t="s">
        <v>44</v>
      </c>
      <c r="J14" s="2" t="s">
        <v>131</v>
      </c>
      <c r="K14" s="2" t="s">
        <v>23</v>
      </c>
      <c r="L14" s="2" t="s">
        <v>35</v>
      </c>
      <c r="M14" s="2" t="s">
        <v>132</v>
      </c>
    </row>
    <row r="15" ht="17.55" spans="1:13">
      <c r="A15" s="3" t="s">
        <v>114</v>
      </c>
      <c r="B15" s="3" t="s">
        <v>133</v>
      </c>
      <c r="C15" s="3" t="s">
        <v>72</v>
      </c>
      <c r="D15" s="3" t="s">
        <v>134</v>
      </c>
      <c r="E15" s="42">
        <v>0.87</v>
      </c>
      <c r="F15" s="3" t="s">
        <v>30</v>
      </c>
      <c r="G15" s="3" t="s">
        <v>135</v>
      </c>
      <c r="H15" s="42">
        <v>0.82</v>
      </c>
      <c r="I15" s="3" t="s">
        <v>52</v>
      </c>
      <c r="J15" s="3" t="s">
        <v>136</v>
      </c>
      <c r="K15" s="3" t="s">
        <v>23</v>
      </c>
      <c r="L15" s="3" t="s">
        <v>24</v>
      </c>
      <c r="M15" s="3" t="s">
        <v>137</v>
      </c>
    </row>
    <row r="16" ht="17.55" spans="1:13">
      <c r="A16" s="2" t="s">
        <v>138</v>
      </c>
      <c r="B16" s="2" t="s">
        <v>139</v>
      </c>
      <c r="C16" s="2" t="s">
        <v>140</v>
      </c>
      <c r="D16" s="2" t="s">
        <v>141</v>
      </c>
      <c r="E16" s="2" t="s">
        <v>142</v>
      </c>
      <c r="F16" s="2" t="s">
        <v>18</v>
      </c>
      <c r="G16" s="2" t="s">
        <v>143</v>
      </c>
      <c r="H16" s="2" t="s">
        <v>144</v>
      </c>
      <c r="I16" s="2" t="s">
        <v>41</v>
      </c>
      <c r="J16" s="2" t="s">
        <v>145</v>
      </c>
      <c r="K16" s="2" t="s">
        <v>146</v>
      </c>
      <c r="L16" s="2" t="s">
        <v>35</v>
      </c>
      <c r="M16" s="2" t="s">
        <v>147</v>
      </c>
    </row>
    <row r="17" ht="17.55" spans="1:13">
      <c r="A17" s="3" t="s">
        <v>138</v>
      </c>
      <c r="B17" s="3" t="s">
        <v>148</v>
      </c>
      <c r="C17" s="3" t="s">
        <v>149</v>
      </c>
      <c r="D17" s="3" t="s">
        <v>150</v>
      </c>
      <c r="E17" s="3" t="s">
        <v>151</v>
      </c>
      <c r="F17" s="3" t="s">
        <v>30</v>
      </c>
      <c r="G17" s="3" t="s">
        <v>152</v>
      </c>
      <c r="H17" s="3" t="s">
        <v>153</v>
      </c>
      <c r="I17" s="3" t="s">
        <v>44</v>
      </c>
      <c r="J17" s="3" t="s">
        <v>154</v>
      </c>
      <c r="K17" s="3" t="s">
        <v>23</v>
      </c>
      <c r="L17" s="3" t="s">
        <v>24</v>
      </c>
      <c r="M17" s="3" t="s">
        <v>155</v>
      </c>
    </row>
    <row r="18" ht="17.55" spans="1:13">
      <c r="A18" s="2" t="s">
        <v>138</v>
      </c>
      <c r="B18" s="2" t="s">
        <v>156</v>
      </c>
      <c r="C18" s="2" t="s">
        <v>157</v>
      </c>
      <c r="D18" s="2" t="s">
        <v>158</v>
      </c>
      <c r="E18" s="2" t="s">
        <v>159</v>
      </c>
      <c r="F18" s="2" t="s">
        <v>21</v>
      </c>
      <c r="G18" s="2" t="s">
        <v>160</v>
      </c>
      <c r="H18" s="2" t="s">
        <v>161</v>
      </c>
      <c r="I18" s="2" t="s">
        <v>104</v>
      </c>
      <c r="J18" s="2" t="s">
        <v>162</v>
      </c>
      <c r="K18" s="2" t="s">
        <v>23</v>
      </c>
      <c r="L18" s="2" t="s">
        <v>54</v>
      </c>
      <c r="M18" s="2" t="s">
        <v>163</v>
      </c>
    </row>
    <row r="19" ht="17.55" spans="1:13">
      <c r="A19" s="3" t="s">
        <v>164</v>
      </c>
      <c r="B19" s="3" t="s">
        <v>165</v>
      </c>
      <c r="C19" s="3" t="s">
        <v>166</v>
      </c>
      <c r="D19" s="3" t="s">
        <v>167</v>
      </c>
      <c r="E19" s="3" t="s">
        <v>168</v>
      </c>
      <c r="F19" s="3" t="s">
        <v>18</v>
      </c>
      <c r="G19" s="3" t="s">
        <v>169</v>
      </c>
      <c r="H19" s="3" t="s">
        <v>170</v>
      </c>
      <c r="I19" s="3" t="s">
        <v>74</v>
      </c>
      <c r="J19" s="3" t="s">
        <v>171</v>
      </c>
      <c r="K19" s="3" t="s">
        <v>172</v>
      </c>
      <c r="L19" s="3" t="s">
        <v>54</v>
      </c>
      <c r="M19" s="3" t="s">
        <v>173</v>
      </c>
    </row>
    <row r="20" ht="17.55" spans="1:13">
      <c r="A20" s="2" t="s">
        <v>164</v>
      </c>
      <c r="B20" s="2" t="s">
        <v>174</v>
      </c>
      <c r="C20" s="2" t="s">
        <v>175</v>
      </c>
      <c r="D20" s="2" t="s">
        <v>176</v>
      </c>
      <c r="E20" s="2" t="s">
        <v>177</v>
      </c>
      <c r="F20" s="2" t="s">
        <v>30</v>
      </c>
      <c r="G20" s="2" t="s">
        <v>178</v>
      </c>
      <c r="H20" s="2" t="s">
        <v>179</v>
      </c>
      <c r="I20" s="2" t="s">
        <v>104</v>
      </c>
      <c r="J20" s="2" t="s">
        <v>180</v>
      </c>
      <c r="K20" s="2" t="s">
        <v>23</v>
      </c>
      <c r="L20" s="2" t="s">
        <v>77</v>
      </c>
      <c r="M20" s="2" t="s">
        <v>181</v>
      </c>
    </row>
    <row r="21" ht="17.55" spans="1:13">
      <c r="A21" s="3" t="s">
        <v>164</v>
      </c>
      <c r="B21" s="3" t="s">
        <v>182</v>
      </c>
      <c r="C21" s="3" t="s">
        <v>183</v>
      </c>
      <c r="D21" s="3" t="s">
        <v>184</v>
      </c>
      <c r="E21" s="3" t="s">
        <v>185</v>
      </c>
      <c r="F21" s="3" t="s">
        <v>30</v>
      </c>
      <c r="G21" s="3" t="s">
        <v>186</v>
      </c>
      <c r="H21" s="3" t="s">
        <v>187</v>
      </c>
      <c r="I21" s="3" t="s">
        <v>21</v>
      </c>
      <c r="J21" s="3" t="s">
        <v>180</v>
      </c>
      <c r="K21" s="3" t="s">
        <v>23</v>
      </c>
      <c r="L21" s="3" t="s">
        <v>54</v>
      </c>
      <c r="M21" s="3" t="s">
        <v>188</v>
      </c>
    </row>
    <row r="22" ht="17.55" spans="1:13">
      <c r="A22" s="2" t="s">
        <v>189</v>
      </c>
      <c r="B22" s="2" t="s">
        <v>190</v>
      </c>
      <c r="C22" s="2" t="s">
        <v>191</v>
      </c>
      <c r="D22" s="2" t="s">
        <v>192</v>
      </c>
      <c r="E22" s="2" t="s">
        <v>193</v>
      </c>
      <c r="F22" s="2" t="s">
        <v>21</v>
      </c>
      <c r="G22" s="2" t="s">
        <v>194</v>
      </c>
      <c r="H22" s="2" t="s">
        <v>195</v>
      </c>
      <c r="I22" s="2" t="s">
        <v>104</v>
      </c>
      <c r="J22" s="2" t="s">
        <v>196</v>
      </c>
      <c r="K22" s="2" t="s">
        <v>197</v>
      </c>
      <c r="L22" s="2" t="s">
        <v>35</v>
      </c>
      <c r="M22" s="2" t="s">
        <v>198</v>
      </c>
    </row>
    <row r="23" ht="17.55" spans="1:13">
      <c r="A23" s="3" t="s">
        <v>189</v>
      </c>
      <c r="B23" s="3" t="s">
        <v>199</v>
      </c>
      <c r="C23" s="3" t="s">
        <v>200</v>
      </c>
      <c r="D23" s="3" t="s">
        <v>201</v>
      </c>
      <c r="E23" s="3" t="s">
        <v>202</v>
      </c>
      <c r="F23" s="3" t="s">
        <v>30</v>
      </c>
      <c r="G23" s="3" t="s">
        <v>203</v>
      </c>
      <c r="H23" s="3" t="s">
        <v>204</v>
      </c>
      <c r="I23" s="3" t="s">
        <v>41</v>
      </c>
      <c r="J23" s="3" t="s">
        <v>205</v>
      </c>
      <c r="K23" s="3" t="s">
        <v>23</v>
      </c>
      <c r="L23" s="3" t="s">
        <v>24</v>
      </c>
      <c r="M23" s="3" t="s">
        <v>206</v>
      </c>
    </row>
    <row r="24" ht="17.55" spans="1:13">
      <c r="A24" s="2" t="s">
        <v>189</v>
      </c>
      <c r="B24" s="2" t="s">
        <v>207</v>
      </c>
      <c r="C24" s="2" t="s">
        <v>208</v>
      </c>
      <c r="D24" s="2" t="s">
        <v>209</v>
      </c>
      <c r="E24" s="2" t="s">
        <v>210</v>
      </c>
      <c r="F24" s="2" t="s">
        <v>30</v>
      </c>
      <c r="G24" s="2" t="s">
        <v>211</v>
      </c>
      <c r="H24" s="2" t="s">
        <v>212</v>
      </c>
      <c r="I24" s="2" t="s">
        <v>104</v>
      </c>
      <c r="J24" s="2" t="s">
        <v>213</v>
      </c>
      <c r="K24" s="2" t="s">
        <v>23</v>
      </c>
      <c r="L24" s="2" t="s">
        <v>54</v>
      </c>
      <c r="M24" s="2" t="s">
        <v>214</v>
      </c>
    </row>
    <row r="25" ht="17.55" spans="1:13">
      <c r="A25" s="3" t="s">
        <v>215</v>
      </c>
      <c r="B25" s="3" t="s">
        <v>216</v>
      </c>
      <c r="C25" s="3" t="s">
        <v>217</v>
      </c>
      <c r="D25" s="3" t="s">
        <v>218</v>
      </c>
      <c r="E25" s="3" t="s">
        <v>219</v>
      </c>
      <c r="F25" s="3" t="s">
        <v>30</v>
      </c>
      <c r="G25" s="3" t="s">
        <v>220</v>
      </c>
      <c r="H25" s="3" t="s">
        <v>221</v>
      </c>
      <c r="I25" s="3" t="s">
        <v>18</v>
      </c>
      <c r="J25" s="3" t="s">
        <v>222</v>
      </c>
      <c r="K25" s="3" t="s">
        <v>223</v>
      </c>
      <c r="L25" s="3" t="s">
        <v>123</v>
      </c>
      <c r="M25" s="3" t="s">
        <v>224</v>
      </c>
    </row>
    <row r="26" ht="17.55" spans="1:13">
      <c r="A26" s="2" t="s">
        <v>215</v>
      </c>
      <c r="B26" s="2" t="s">
        <v>225</v>
      </c>
      <c r="C26" s="2" t="s">
        <v>226</v>
      </c>
      <c r="D26" s="2" t="s">
        <v>227</v>
      </c>
      <c r="E26" s="2" t="s">
        <v>228</v>
      </c>
      <c r="F26" s="2" t="s">
        <v>21</v>
      </c>
      <c r="G26" s="2" t="s">
        <v>229</v>
      </c>
      <c r="H26" s="2" t="s">
        <v>228</v>
      </c>
      <c r="I26" s="2" t="s">
        <v>21</v>
      </c>
      <c r="J26" s="2" t="s">
        <v>230</v>
      </c>
      <c r="K26" s="2" t="s">
        <v>23</v>
      </c>
      <c r="L26" s="2" t="s">
        <v>35</v>
      </c>
      <c r="M26" s="2" t="s">
        <v>231</v>
      </c>
    </row>
    <row r="27" ht="17.55" spans="1:13">
      <c r="A27" s="3" t="s">
        <v>215</v>
      </c>
      <c r="B27" s="3" t="s">
        <v>232</v>
      </c>
      <c r="C27" s="3" t="s">
        <v>233</v>
      </c>
      <c r="D27" s="3" t="s">
        <v>234</v>
      </c>
      <c r="E27" s="3" t="s">
        <v>235</v>
      </c>
      <c r="F27" s="3" t="s">
        <v>30</v>
      </c>
      <c r="G27" s="3" t="s">
        <v>236</v>
      </c>
      <c r="H27" s="3" t="s">
        <v>237</v>
      </c>
      <c r="I27" s="3" t="s">
        <v>18</v>
      </c>
      <c r="J27" s="3" t="s">
        <v>230</v>
      </c>
      <c r="K27" s="3" t="s">
        <v>23</v>
      </c>
      <c r="L27" s="3" t="s">
        <v>24</v>
      </c>
      <c r="M27" s="3" t="s">
        <v>238</v>
      </c>
    </row>
    <row r="28" ht="17.55" spans="1:13">
      <c r="A28" s="2" t="s">
        <v>239</v>
      </c>
      <c r="B28" s="2" t="s">
        <v>240</v>
      </c>
      <c r="C28" s="2" t="s">
        <v>241</v>
      </c>
      <c r="D28" s="2" t="s">
        <v>242</v>
      </c>
      <c r="E28" s="2" t="s">
        <v>243</v>
      </c>
      <c r="F28" s="2" t="s">
        <v>21</v>
      </c>
      <c r="G28" s="2" t="s">
        <v>244</v>
      </c>
      <c r="H28" s="2" t="s">
        <v>245</v>
      </c>
      <c r="I28" s="2" t="s">
        <v>104</v>
      </c>
      <c r="J28" s="2" t="s">
        <v>246</v>
      </c>
      <c r="K28" s="2" t="s">
        <v>247</v>
      </c>
      <c r="L28" s="2" t="s">
        <v>35</v>
      </c>
      <c r="M28" s="2" t="s">
        <v>248</v>
      </c>
    </row>
    <row r="29" ht="17.55" spans="1:13">
      <c r="A29" s="3" t="s">
        <v>239</v>
      </c>
      <c r="B29" s="3" t="s">
        <v>249</v>
      </c>
      <c r="C29" s="3" t="s">
        <v>250</v>
      </c>
      <c r="D29" s="3" t="s">
        <v>251</v>
      </c>
      <c r="E29" s="42">
        <v>0.92</v>
      </c>
      <c r="F29" s="3" t="s">
        <v>30</v>
      </c>
      <c r="G29" s="3" t="s">
        <v>252</v>
      </c>
      <c r="H29" s="42">
        <v>0.9</v>
      </c>
      <c r="I29" s="3" t="s">
        <v>104</v>
      </c>
      <c r="J29" s="3" t="s">
        <v>253</v>
      </c>
      <c r="K29" s="3" t="s">
        <v>23</v>
      </c>
      <c r="L29" s="3" t="s">
        <v>24</v>
      </c>
      <c r="M29" s="3" t="s">
        <v>254</v>
      </c>
    </row>
    <row r="30" ht="17.55" spans="1:13">
      <c r="A30" s="2" t="s">
        <v>239</v>
      </c>
      <c r="B30" s="2" t="s">
        <v>255</v>
      </c>
      <c r="C30" s="2" t="s">
        <v>256</v>
      </c>
      <c r="D30" s="2" t="s">
        <v>257</v>
      </c>
      <c r="E30" s="2" t="s">
        <v>258</v>
      </c>
      <c r="F30" s="2" t="s">
        <v>21</v>
      </c>
      <c r="G30" s="2" t="s">
        <v>252</v>
      </c>
      <c r="H30" s="2" t="s">
        <v>259</v>
      </c>
      <c r="I30" s="2" t="s">
        <v>41</v>
      </c>
      <c r="J30" s="2" t="s">
        <v>253</v>
      </c>
      <c r="K30" s="2" t="s">
        <v>23</v>
      </c>
      <c r="L30" s="2" t="s">
        <v>24</v>
      </c>
      <c r="M30" s="2" t="s">
        <v>260</v>
      </c>
    </row>
    <row r="31" ht="17.55" spans="1:13">
      <c r="A31" s="3" t="s">
        <v>261</v>
      </c>
      <c r="B31" s="3" t="s">
        <v>262</v>
      </c>
      <c r="C31" s="3" t="s">
        <v>263</v>
      </c>
      <c r="D31" s="3" t="s">
        <v>264</v>
      </c>
      <c r="E31" s="3" t="s">
        <v>265</v>
      </c>
      <c r="F31" s="3" t="s">
        <v>30</v>
      </c>
      <c r="G31" s="3" t="s">
        <v>266</v>
      </c>
      <c r="H31" s="3" t="s">
        <v>267</v>
      </c>
      <c r="I31" s="3" t="s">
        <v>41</v>
      </c>
      <c r="J31" s="3" t="s">
        <v>268</v>
      </c>
      <c r="K31" s="3" t="s">
        <v>23</v>
      </c>
      <c r="L31" s="3" t="s">
        <v>35</v>
      </c>
      <c r="M31" s="3" t="s">
        <v>269</v>
      </c>
    </row>
    <row r="32" ht="17.55" spans="1:13">
      <c r="A32" s="2" t="s">
        <v>261</v>
      </c>
      <c r="B32" s="2" t="s">
        <v>270</v>
      </c>
      <c r="C32" s="2" t="s">
        <v>271</v>
      </c>
      <c r="D32" s="2" t="s">
        <v>272</v>
      </c>
      <c r="E32" s="43">
        <v>0.0008</v>
      </c>
      <c r="F32" s="2" t="s">
        <v>18</v>
      </c>
      <c r="G32" s="2" t="s">
        <v>273</v>
      </c>
      <c r="H32" s="43">
        <v>0.0009</v>
      </c>
      <c r="I32" s="2" t="s">
        <v>30</v>
      </c>
      <c r="J32" s="2" t="s">
        <v>274</v>
      </c>
      <c r="K32" s="2" t="s">
        <v>23</v>
      </c>
      <c r="L32" s="2" t="s">
        <v>24</v>
      </c>
      <c r="M32" s="2" t="s">
        <v>275</v>
      </c>
    </row>
    <row r="33" ht="17.55" spans="1:13">
      <c r="A33" s="3" t="s">
        <v>276</v>
      </c>
      <c r="B33" s="3" t="s">
        <v>277</v>
      </c>
      <c r="C33" s="3" t="s">
        <v>278</v>
      </c>
      <c r="D33" s="3" t="s">
        <v>279</v>
      </c>
      <c r="E33" s="3" t="s">
        <v>280</v>
      </c>
      <c r="F33" s="3" t="s">
        <v>30</v>
      </c>
      <c r="G33" s="3" t="s">
        <v>281</v>
      </c>
      <c r="H33" s="3" t="s">
        <v>282</v>
      </c>
      <c r="I33" s="3" t="s">
        <v>21</v>
      </c>
      <c r="J33" s="3" t="s">
        <v>283</v>
      </c>
      <c r="K33" s="3" t="s">
        <v>284</v>
      </c>
      <c r="L33" s="3" t="s">
        <v>24</v>
      </c>
      <c r="M33" s="3" t="s">
        <v>285</v>
      </c>
    </row>
    <row r="34" ht="17.55" spans="1:13">
      <c r="A34" s="2" t="s">
        <v>276</v>
      </c>
      <c r="B34" s="2" t="s">
        <v>286</v>
      </c>
      <c r="C34" s="2" t="s">
        <v>287</v>
      </c>
      <c r="D34" s="2" t="s">
        <v>288</v>
      </c>
      <c r="E34" s="2" t="s">
        <v>289</v>
      </c>
      <c r="F34" s="2" t="s">
        <v>30</v>
      </c>
      <c r="G34" s="2" t="s">
        <v>290</v>
      </c>
      <c r="H34" s="2" t="s">
        <v>291</v>
      </c>
      <c r="I34" s="2" t="s">
        <v>104</v>
      </c>
      <c r="J34" s="2" t="s">
        <v>292</v>
      </c>
      <c r="K34" s="2" t="s">
        <v>23</v>
      </c>
      <c r="L34" s="2" t="s">
        <v>35</v>
      </c>
      <c r="M34" s="2" t="s">
        <v>293</v>
      </c>
    </row>
    <row r="35" ht="17.55" spans="1:13">
      <c r="A35" s="3" t="s">
        <v>294</v>
      </c>
      <c r="B35" s="3" t="s">
        <v>295</v>
      </c>
      <c r="C35" s="3" t="s">
        <v>296</v>
      </c>
      <c r="D35" s="3" t="s">
        <v>297</v>
      </c>
      <c r="E35" s="3" t="s">
        <v>298</v>
      </c>
      <c r="F35" s="3" t="s">
        <v>21</v>
      </c>
      <c r="G35" s="3" t="s">
        <v>299</v>
      </c>
      <c r="H35" s="3" t="s">
        <v>300</v>
      </c>
      <c r="I35" s="3" t="s">
        <v>44</v>
      </c>
      <c r="J35" s="3" t="s">
        <v>301</v>
      </c>
      <c r="K35" s="3" t="s">
        <v>23</v>
      </c>
      <c r="L35" s="3" t="s">
        <v>54</v>
      </c>
      <c r="M35" s="3" t="s">
        <v>302</v>
      </c>
    </row>
    <row r="36" ht="17.55" spans="1:13">
      <c r="A36" s="2" t="s">
        <v>294</v>
      </c>
      <c r="B36" s="2" t="s">
        <v>303</v>
      </c>
      <c r="C36" s="2" t="s">
        <v>304</v>
      </c>
      <c r="D36" s="2" t="s">
        <v>305</v>
      </c>
      <c r="E36" s="43">
        <v>0.999995</v>
      </c>
      <c r="F36" s="2" t="s">
        <v>30</v>
      </c>
      <c r="G36" s="2" t="s">
        <v>306</v>
      </c>
      <c r="H36" s="43">
        <v>0.99999</v>
      </c>
      <c r="I36" s="2" t="s">
        <v>21</v>
      </c>
      <c r="J36" s="2" t="s">
        <v>307</v>
      </c>
      <c r="K36" s="2" t="s">
        <v>23</v>
      </c>
      <c r="L36" s="2" t="s">
        <v>54</v>
      </c>
      <c r="M36" s="2" t="s">
        <v>308</v>
      </c>
    </row>
    <row r="37" ht="17.55" spans="1:13">
      <c r="A37" s="3" t="s">
        <v>309</v>
      </c>
      <c r="B37" s="3" t="s">
        <v>310</v>
      </c>
      <c r="C37" s="3" t="s">
        <v>311</v>
      </c>
      <c r="D37" s="3" t="s">
        <v>312</v>
      </c>
      <c r="E37" s="44">
        <v>0.008</v>
      </c>
      <c r="F37" s="3" t="s">
        <v>30</v>
      </c>
      <c r="G37" s="3" t="s">
        <v>313</v>
      </c>
      <c r="H37" s="44">
        <v>0.009</v>
      </c>
      <c r="I37" s="3" t="s">
        <v>21</v>
      </c>
      <c r="J37" s="3" t="s">
        <v>314</v>
      </c>
      <c r="K37" s="3" t="s">
        <v>23</v>
      </c>
      <c r="L37" s="3" t="s">
        <v>35</v>
      </c>
      <c r="M37" s="3" t="s">
        <v>315</v>
      </c>
    </row>
    <row r="38" ht="17.55" spans="1:13">
      <c r="A38" s="2" t="s">
        <v>309</v>
      </c>
      <c r="B38" s="2" t="s">
        <v>316</v>
      </c>
      <c r="C38" s="2" t="s">
        <v>250</v>
      </c>
      <c r="D38" s="2" t="s">
        <v>317</v>
      </c>
      <c r="E38" s="41">
        <v>0.92</v>
      </c>
      <c r="F38" s="2" t="s">
        <v>30</v>
      </c>
      <c r="G38" s="2" t="s">
        <v>318</v>
      </c>
      <c r="H38" s="41">
        <v>0.91</v>
      </c>
      <c r="I38" s="2" t="s">
        <v>21</v>
      </c>
      <c r="J38" s="2" t="s">
        <v>319</v>
      </c>
      <c r="K38" s="2" t="s">
        <v>23</v>
      </c>
      <c r="L38" s="2" t="s">
        <v>24</v>
      </c>
      <c r="M38" s="2" t="s">
        <v>320</v>
      </c>
    </row>
    <row r="39" ht="17.55" spans="1:13">
      <c r="A39" s="3" t="s">
        <v>321</v>
      </c>
      <c r="B39" s="3" t="s">
        <v>322</v>
      </c>
      <c r="C39" s="3" t="s">
        <v>323</v>
      </c>
      <c r="D39" s="3" t="s">
        <v>324</v>
      </c>
      <c r="E39" s="3" t="s">
        <v>325</v>
      </c>
      <c r="F39" s="3" t="s">
        <v>21</v>
      </c>
      <c r="G39" s="3" t="s">
        <v>326</v>
      </c>
      <c r="H39" s="3" t="s">
        <v>327</v>
      </c>
      <c r="I39" s="3" t="s">
        <v>104</v>
      </c>
      <c r="J39" s="3" t="s">
        <v>328</v>
      </c>
      <c r="K39" s="3" t="s">
        <v>329</v>
      </c>
      <c r="L39" s="3" t="s">
        <v>35</v>
      </c>
      <c r="M39" s="3" t="s">
        <v>330</v>
      </c>
    </row>
    <row r="40" ht="17.55" spans="1:13">
      <c r="A40" s="2" t="s">
        <v>321</v>
      </c>
      <c r="B40" s="2" t="s">
        <v>331</v>
      </c>
      <c r="C40" s="2" t="s">
        <v>332</v>
      </c>
      <c r="D40" s="2" t="s">
        <v>333</v>
      </c>
      <c r="E40" s="2" t="s">
        <v>334</v>
      </c>
      <c r="F40" s="2" t="s">
        <v>30</v>
      </c>
      <c r="G40" s="2" t="s">
        <v>335</v>
      </c>
      <c r="H40" s="2" t="s">
        <v>336</v>
      </c>
      <c r="I40" s="2" t="s">
        <v>41</v>
      </c>
      <c r="J40" s="2" t="s">
        <v>337</v>
      </c>
      <c r="K40" s="2" t="s">
        <v>23</v>
      </c>
      <c r="L40" s="2" t="s">
        <v>24</v>
      </c>
      <c r="M40" s="2" t="s">
        <v>338</v>
      </c>
    </row>
    <row r="41" ht="17.55" spans="1:13">
      <c r="A41" s="3" t="s">
        <v>114</v>
      </c>
      <c r="B41" s="3" t="s">
        <v>115</v>
      </c>
      <c r="C41" s="3" t="s">
        <v>116</v>
      </c>
      <c r="D41" s="3" t="s">
        <v>117</v>
      </c>
      <c r="E41" s="3" t="s">
        <v>118</v>
      </c>
      <c r="F41" s="3" t="s">
        <v>21</v>
      </c>
      <c r="G41" s="3" t="s">
        <v>119</v>
      </c>
      <c r="H41" s="3" t="s">
        <v>120</v>
      </c>
      <c r="I41" s="3" t="s">
        <v>95</v>
      </c>
      <c r="J41" s="3" t="s">
        <v>121</v>
      </c>
      <c r="K41" s="3" t="s">
        <v>122</v>
      </c>
      <c r="L41" s="3" t="s">
        <v>123</v>
      </c>
      <c r="M41" s="3" t="s">
        <v>124</v>
      </c>
    </row>
    <row r="42" ht="17.55" spans="1:13">
      <c r="A42" s="2" t="s">
        <v>13</v>
      </c>
      <c r="B42" s="2" t="s">
        <v>14</v>
      </c>
      <c r="C42" s="2" t="s">
        <v>15</v>
      </c>
      <c r="D42" s="2" t="s">
        <v>16</v>
      </c>
      <c r="E42" s="2" t="s">
        <v>17</v>
      </c>
      <c r="F42" s="2" t="s">
        <v>18</v>
      </c>
      <c r="G42" s="2" t="s">
        <v>19</v>
      </c>
      <c r="H42" s="2" t="s">
        <v>20</v>
      </c>
      <c r="I42" s="2" t="s">
        <v>21</v>
      </c>
      <c r="J42" s="2" t="s">
        <v>22</v>
      </c>
      <c r="K42" s="2" t="s">
        <v>23</v>
      </c>
      <c r="L42" s="2" t="s">
        <v>24</v>
      </c>
      <c r="M42" s="2" t="s">
        <v>25</v>
      </c>
    </row>
    <row r="43" ht="17.55" spans="1:13">
      <c r="A43" s="3" t="s">
        <v>79</v>
      </c>
      <c r="B43" s="3" t="s">
        <v>80</v>
      </c>
      <c r="C43" s="3" t="s">
        <v>81</v>
      </c>
      <c r="D43" s="3" t="s">
        <v>82</v>
      </c>
      <c r="E43" s="3" t="s">
        <v>83</v>
      </c>
      <c r="F43" s="3" t="s">
        <v>18</v>
      </c>
      <c r="G43" s="3" t="s">
        <v>84</v>
      </c>
      <c r="H43" s="3" t="s">
        <v>85</v>
      </c>
      <c r="I43" s="3" t="s">
        <v>21</v>
      </c>
      <c r="J43" s="3" t="s">
        <v>86</v>
      </c>
      <c r="K43" s="3" t="s">
        <v>87</v>
      </c>
      <c r="L43" s="3" t="s">
        <v>24</v>
      </c>
      <c r="M43" s="3" t="s">
        <v>88</v>
      </c>
    </row>
    <row r="44" ht="17.55" spans="1:13">
      <c r="A44" s="2" t="s">
        <v>114</v>
      </c>
      <c r="B44" s="2" t="s">
        <v>115</v>
      </c>
      <c r="C44" s="2" t="s">
        <v>116</v>
      </c>
      <c r="D44" s="2" t="s">
        <v>117</v>
      </c>
      <c r="E44" s="2" t="s">
        <v>118</v>
      </c>
      <c r="F44" s="2" t="s">
        <v>21</v>
      </c>
      <c r="G44" s="2" t="s">
        <v>119</v>
      </c>
      <c r="H44" s="2" t="s">
        <v>120</v>
      </c>
      <c r="I44" s="2" t="s">
        <v>95</v>
      </c>
      <c r="J44" s="2" t="s">
        <v>121</v>
      </c>
      <c r="K44" s="2" t="s">
        <v>122</v>
      </c>
      <c r="L44" s="2" t="s">
        <v>123</v>
      </c>
      <c r="M44" s="2" t="s">
        <v>124</v>
      </c>
    </row>
    <row r="45" ht="17.55" spans="1:13">
      <c r="A45" s="3" t="s">
        <v>138</v>
      </c>
      <c r="B45" s="3" t="s">
        <v>139</v>
      </c>
      <c r="C45" s="3" t="s">
        <v>140</v>
      </c>
      <c r="D45" s="3" t="s">
        <v>141</v>
      </c>
      <c r="E45" s="3" t="s">
        <v>142</v>
      </c>
      <c r="F45" s="3" t="s">
        <v>18</v>
      </c>
      <c r="G45" s="3" t="s">
        <v>143</v>
      </c>
      <c r="H45" s="3" t="s">
        <v>144</v>
      </c>
      <c r="I45" s="3" t="s">
        <v>41</v>
      </c>
      <c r="J45" s="3" t="s">
        <v>145</v>
      </c>
      <c r="K45" s="3" t="s">
        <v>146</v>
      </c>
      <c r="L45" s="3" t="s">
        <v>35</v>
      </c>
      <c r="M45" s="3" t="s">
        <v>147</v>
      </c>
    </row>
    <row r="46" ht="17.55" spans="1:13">
      <c r="A46" s="2" t="s">
        <v>164</v>
      </c>
      <c r="B46" s="2" t="s">
        <v>165</v>
      </c>
      <c r="C46" s="2" t="s">
        <v>339</v>
      </c>
      <c r="D46" s="2" t="s">
        <v>167</v>
      </c>
      <c r="E46" s="2" t="s">
        <v>340</v>
      </c>
      <c r="F46" s="2" t="s">
        <v>18</v>
      </c>
      <c r="G46" s="2" t="s">
        <v>169</v>
      </c>
      <c r="H46" s="2" t="s">
        <v>341</v>
      </c>
      <c r="I46" s="2" t="s">
        <v>74</v>
      </c>
      <c r="J46" s="2" t="s">
        <v>171</v>
      </c>
      <c r="K46" s="2" t="s">
        <v>172</v>
      </c>
      <c r="L46" s="2" t="s">
        <v>54</v>
      </c>
      <c r="M46" s="2" t="s">
        <v>173</v>
      </c>
    </row>
    <row r="47" ht="17.55" spans="1:13">
      <c r="A47" s="3" t="s">
        <v>189</v>
      </c>
      <c r="B47" s="3" t="s">
        <v>190</v>
      </c>
      <c r="C47" s="3" t="s">
        <v>191</v>
      </c>
      <c r="D47" s="3" t="s">
        <v>192</v>
      </c>
      <c r="E47" s="3" t="s">
        <v>193</v>
      </c>
      <c r="F47" s="3" t="s">
        <v>21</v>
      </c>
      <c r="G47" s="3" t="s">
        <v>194</v>
      </c>
      <c r="H47" s="3" t="s">
        <v>195</v>
      </c>
      <c r="I47" s="3" t="s">
        <v>104</v>
      </c>
      <c r="J47" s="3" t="s">
        <v>196</v>
      </c>
      <c r="K47" s="3" t="s">
        <v>197</v>
      </c>
      <c r="L47" s="3" t="s">
        <v>35</v>
      </c>
      <c r="M47" s="3" t="s">
        <v>198</v>
      </c>
    </row>
    <row r="48" ht="17.55" spans="1:13">
      <c r="A48" s="2" t="s">
        <v>215</v>
      </c>
      <c r="B48" s="2" t="s">
        <v>216</v>
      </c>
      <c r="C48" s="2" t="s">
        <v>217</v>
      </c>
      <c r="D48" s="2" t="s">
        <v>218</v>
      </c>
      <c r="E48" s="2" t="s">
        <v>219</v>
      </c>
      <c r="F48" s="2" t="s">
        <v>30</v>
      </c>
      <c r="G48" s="2" t="s">
        <v>220</v>
      </c>
      <c r="H48" s="2" t="s">
        <v>221</v>
      </c>
      <c r="I48" s="2" t="s">
        <v>18</v>
      </c>
      <c r="J48" s="2" t="s">
        <v>222</v>
      </c>
      <c r="K48" s="2" t="s">
        <v>223</v>
      </c>
      <c r="L48" s="2" t="s">
        <v>123</v>
      </c>
      <c r="M48" s="2" t="s">
        <v>224</v>
      </c>
    </row>
    <row r="49" ht="17.55" spans="1:13">
      <c r="A49" s="3" t="s">
        <v>239</v>
      </c>
      <c r="B49" s="3" t="s">
        <v>240</v>
      </c>
      <c r="C49" s="3" t="s">
        <v>241</v>
      </c>
      <c r="D49" s="3" t="s">
        <v>242</v>
      </c>
      <c r="E49" s="3" t="s">
        <v>243</v>
      </c>
      <c r="F49" s="3" t="s">
        <v>21</v>
      </c>
      <c r="G49" s="3" t="s">
        <v>244</v>
      </c>
      <c r="H49" s="3" t="s">
        <v>245</v>
      </c>
      <c r="I49" s="3" t="s">
        <v>104</v>
      </c>
      <c r="J49" s="3" t="s">
        <v>246</v>
      </c>
      <c r="K49" s="3" t="s">
        <v>247</v>
      </c>
      <c r="L49" s="3" t="s">
        <v>35</v>
      </c>
      <c r="M49" s="3" t="s">
        <v>248</v>
      </c>
    </row>
    <row r="50" ht="17.55" spans="1:13">
      <c r="A50" s="2" t="s">
        <v>261</v>
      </c>
      <c r="B50" s="2" t="s">
        <v>262</v>
      </c>
      <c r="C50" s="2" t="s">
        <v>263</v>
      </c>
      <c r="D50" s="2" t="s">
        <v>264</v>
      </c>
      <c r="E50" s="2" t="s">
        <v>265</v>
      </c>
      <c r="F50" s="2" t="s">
        <v>30</v>
      </c>
      <c r="G50" s="2" t="s">
        <v>266</v>
      </c>
      <c r="H50" s="2" t="s">
        <v>267</v>
      </c>
      <c r="I50" s="2" t="s">
        <v>41</v>
      </c>
      <c r="J50" s="2" t="s">
        <v>268</v>
      </c>
      <c r="K50" s="2" t="s">
        <v>23</v>
      </c>
      <c r="L50" s="2" t="s">
        <v>35</v>
      </c>
      <c r="M50" s="2" t="s">
        <v>269</v>
      </c>
    </row>
    <row r="51" ht="17.55" spans="1:13">
      <c r="A51" s="3" t="s">
        <v>276</v>
      </c>
      <c r="B51" s="3" t="s">
        <v>277</v>
      </c>
      <c r="C51" s="3" t="s">
        <v>342</v>
      </c>
      <c r="D51" s="3" t="s">
        <v>279</v>
      </c>
      <c r="E51" s="3" t="s">
        <v>343</v>
      </c>
      <c r="F51" s="3" t="s">
        <v>30</v>
      </c>
      <c r="G51" s="3" t="s">
        <v>281</v>
      </c>
      <c r="H51" s="3" t="s">
        <v>344</v>
      </c>
      <c r="I51" s="3" t="s">
        <v>21</v>
      </c>
      <c r="J51" s="3" t="s">
        <v>283</v>
      </c>
      <c r="K51" s="3" t="s">
        <v>284</v>
      </c>
      <c r="L51" s="3" t="s">
        <v>24</v>
      </c>
      <c r="M51" s="3" t="s">
        <v>285</v>
      </c>
    </row>
    <row r="52" ht="17.55" spans="1:13">
      <c r="A52" s="2" t="s">
        <v>294</v>
      </c>
      <c r="B52" s="2" t="s">
        <v>295</v>
      </c>
      <c r="C52" s="2" t="s">
        <v>296</v>
      </c>
      <c r="D52" s="2" t="s">
        <v>297</v>
      </c>
      <c r="E52" s="2" t="s">
        <v>298</v>
      </c>
      <c r="F52" s="2" t="s">
        <v>21</v>
      </c>
      <c r="G52" s="2" t="s">
        <v>299</v>
      </c>
      <c r="H52" s="2" t="s">
        <v>300</v>
      </c>
      <c r="I52" s="2" t="s">
        <v>44</v>
      </c>
      <c r="J52" s="2" t="s">
        <v>301</v>
      </c>
      <c r="K52" s="2" t="s">
        <v>23</v>
      </c>
      <c r="L52" s="2" t="s">
        <v>54</v>
      </c>
      <c r="M52" s="2" t="s">
        <v>302</v>
      </c>
    </row>
    <row r="53" ht="17.55" spans="1:13">
      <c r="A53" s="3" t="s">
        <v>309</v>
      </c>
      <c r="B53" s="3" t="s">
        <v>310</v>
      </c>
      <c r="C53" s="3" t="s">
        <v>311</v>
      </c>
      <c r="D53" s="3" t="s">
        <v>312</v>
      </c>
      <c r="E53" s="44">
        <v>0.008</v>
      </c>
      <c r="F53" s="3" t="s">
        <v>30</v>
      </c>
      <c r="G53" s="3" t="s">
        <v>313</v>
      </c>
      <c r="H53" s="44">
        <v>0.009</v>
      </c>
      <c r="I53" s="3" t="s">
        <v>21</v>
      </c>
      <c r="J53" s="3" t="s">
        <v>314</v>
      </c>
      <c r="K53" s="3" t="s">
        <v>23</v>
      </c>
      <c r="L53" s="3" t="s">
        <v>35</v>
      </c>
      <c r="M53" s="3" t="s">
        <v>315</v>
      </c>
    </row>
    <row r="54" ht="17.55" spans="1:13">
      <c r="A54" s="2" t="s">
        <v>321</v>
      </c>
      <c r="B54" s="2" t="s">
        <v>322</v>
      </c>
      <c r="C54" s="2" t="s">
        <v>323</v>
      </c>
      <c r="D54" s="2" t="s">
        <v>324</v>
      </c>
      <c r="E54" s="2" t="s">
        <v>325</v>
      </c>
      <c r="F54" s="2" t="s">
        <v>21</v>
      </c>
      <c r="G54" s="2" t="s">
        <v>326</v>
      </c>
      <c r="H54" s="2" t="s">
        <v>327</v>
      </c>
      <c r="I54" s="2" t="s">
        <v>104</v>
      </c>
      <c r="J54" s="2" t="s">
        <v>328</v>
      </c>
      <c r="K54" s="2" t="s">
        <v>329</v>
      </c>
      <c r="L54" s="2" t="s">
        <v>35</v>
      </c>
      <c r="M54" s="2" t="s">
        <v>330</v>
      </c>
    </row>
    <row r="55" ht="17.55" spans="1:13">
      <c r="A55" s="3" t="s">
        <v>345</v>
      </c>
      <c r="B55" s="3" t="s">
        <v>346</v>
      </c>
      <c r="C55" s="3" t="s">
        <v>347</v>
      </c>
      <c r="D55" s="3" t="s">
        <v>348</v>
      </c>
      <c r="E55" s="3" t="s">
        <v>349</v>
      </c>
      <c r="F55" s="3" t="s">
        <v>18</v>
      </c>
      <c r="G55" s="3" t="s">
        <v>350</v>
      </c>
      <c r="H55" s="3" t="s">
        <v>349</v>
      </c>
      <c r="I55" s="3" t="s">
        <v>18</v>
      </c>
      <c r="J55" s="3" t="s">
        <v>351</v>
      </c>
      <c r="K55" s="3" t="s">
        <v>352</v>
      </c>
      <c r="L55" s="3" t="s">
        <v>54</v>
      </c>
      <c r="M55" s="3" t="s">
        <v>353</v>
      </c>
    </row>
    <row r="56" ht="17.55" spans="1:13">
      <c r="A56" s="3" t="s">
        <v>345</v>
      </c>
      <c r="B56" s="2" t="s">
        <v>354</v>
      </c>
      <c r="C56" s="2" t="s">
        <v>355</v>
      </c>
      <c r="D56" s="2" t="s">
        <v>356</v>
      </c>
      <c r="E56" s="2" t="s">
        <v>357</v>
      </c>
      <c r="F56" s="2" t="s">
        <v>104</v>
      </c>
      <c r="G56" s="2" t="s">
        <v>350</v>
      </c>
      <c r="H56" s="2" t="s">
        <v>357</v>
      </c>
      <c r="I56" s="2" t="s">
        <v>104</v>
      </c>
      <c r="J56" s="2" t="s">
        <v>351</v>
      </c>
      <c r="K56" s="2" t="s">
        <v>23</v>
      </c>
      <c r="L56" s="2" t="s">
        <v>54</v>
      </c>
      <c r="M56" s="2" t="s">
        <v>358</v>
      </c>
    </row>
    <row r="57" ht="17.55" spans="1:13">
      <c r="A57" s="3" t="s">
        <v>345</v>
      </c>
      <c r="B57" s="3" t="s">
        <v>359</v>
      </c>
      <c r="C57" s="3" t="s">
        <v>72</v>
      </c>
      <c r="D57" s="3" t="s">
        <v>360</v>
      </c>
      <c r="E57" s="42">
        <v>0.88</v>
      </c>
      <c r="F57" s="3" t="s">
        <v>30</v>
      </c>
      <c r="G57" s="3" t="s">
        <v>361</v>
      </c>
      <c r="H57" s="42">
        <v>0.85</v>
      </c>
      <c r="I57" s="3" t="s">
        <v>21</v>
      </c>
      <c r="J57" s="3" t="s">
        <v>351</v>
      </c>
      <c r="K57" s="3" t="s">
        <v>23</v>
      </c>
      <c r="L57" s="3" t="s">
        <v>77</v>
      </c>
      <c r="M57" s="3" t="s">
        <v>362</v>
      </c>
    </row>
    <row r="58" ht="17.55" spans="1:13">
      <c r="A58" s="2" t="s">
        <v>363</v>
      </c>
      <c r="B58" s="2" t="s">
        <v>364</v>
      </c>
      <c r="C58" s="2" t="s">
        <v>365</v>
      </c>
      <c r="D58" s="2" t="s">
        <v>366</v>
      </c>
      <c r="E58" s="2" t="s">
        <v>367</v>
      </c>
      <c r="F58" s="2" t="s">
        <v>21</v>
      </c>
      <c r="G58" s="2" t="s">
        <v>211</v>
      </c>
      <c r="H58" s="2" t="s">
        <v>368</v>
      </c>
      <c r="I58" s="2" t="s">
        <v>95</v>
      </c>
      <c r="J58" s="2" t="s">
        <v>369</v>
      </c>
      <c r="K58" s="2" t="s">
        <v>370</v>
      </c>
      <c r="L58" s="2" t="s">
        <v>24</v>
      </c>
      <c r="M58" s="2" t="s">
        <v>371</v>
      </c>
    </row>
    <row r="59" ht="17.55" spans="1:13">
      <c r="A59" s="2" t="s">
        <v>363</v>
      </c>
      <c r="B59" s="3" t="s">
        <v>372</v>
      </c>
      <c r="C59" s="3" t="s">
        <v>373</v>
      </c>
      <c r="D59" s="3" t="s">
        <v>374</v>
      </c>
      <c r="E59" s="3" t="s">
        <v>375</v>
      </c>
      <c r="F59" s="3" t="s">
        <v>44</v>
      </c>
      <c r="G59" s="3" t="s">
        <v>203</v>
      </c>
      <c r="H59" s="3" t="s">
        <v>376</v>
      </c>
      <c r="I59" s="3" t="s">
        <v>377</v>
      </c>
      <c r="J59" s="3" t="s">
        <v>378</v>
      </c>
      <c r="K59" s="3" t="s">
        <v>23</v>
      </c>
      <c r="L59" s="3" t="s">
        <v>35</v>
      </c>
      <c r="M59" s="3" t="s">
        <v>379</v>
      </c>
    </row>
    <row r="60" ht="17.55" spans="1:13">
      <c r="A60" s="2" t="s">
        <v>363</v>
      </c>
      <c r="B60" s="2" t="s">
        <v>380</v>
      </c>
      <c r="C60" s="2" t="s">
        <v>381</v>
      </c>
      <c r="D60" s="2" t="s">
        <v>382</v>
      </c>
      <c r="E60" s="2" t="s">
        <v>383</v>
      </c>
      <c r="F60" s="2" t="s">
        <v>384</v>
      </c>
      <c r="G60" s="2" t="s">
        <v>385</v>
      </c>
      <c r="H60" s="2" t="s">
        <v>386</v>
      </c>
      <c r="I60" s="2" t="s">
        <v>387</v>
      </c>
      <c r="J60" s="2" t="s">
        <v>213</v>
      </c>
      <c r="K60" s="2" t="s">
        <v>23</v>
      </c>
      <c r="L60" s="2" t="s">
        <v>35</v>
      </c>
      <c r="M60" s="2" t="s">
        <v>388</v>
      </c>
    </row>
    <row r="61" ht="17.55" spans="1:13">
      <c r="A61" s="2" t="s">
        <v>363</v>
      </c>
      <c r="B61" s="3" t="s">
        <v>389</v>
      </c>
      <c r="C61" s="3" t="s">
        <v>390</v>
      </c>
      <c r="D61" s="3" t="s">
        <v>391</v>
      </c>
      <c r="E61" s="3" t="s">
        <v>392</v>
      </c>
      <c r="F61" s="3" t="s">
        <v>393</v>
      </c>
      <c r="G61" s="3" t="s">
        <v>211</v>
      </c>
      <c r="H61" s="3" t="s">
        <v>394</v>
      </c>
      <c r="I61" s="3" t="s">
        <v>21</v>
      </c>
      <c r="J61" s="3" t="s">
        <v>378</v>
      </c>
      <c r="K61" s="3" t="s">
        <v>23</v>
      </c>
      <c r="L61" s="3" t="s">
        <v>24</v>
      </c>
      <c r="M61" s="3" t="s">
        <v>395</v>
      </c>
    </row>
    <row r="62" ht="17.55" spans="1:13">
      <c r="A62" s="2" t="s">
        <v>396</v>
      </c>
      <c r="B62" s="2" t="s">
        <v>397</v>
      </c>
      <c r="C62" s="2" t="s">
        <v>398</v>
      </c>
      <c r="D62" s="2" t="s">
        <v>399</v>
      </c>
      <c r="E62" s="2" t="s">
        <v>400</v>
      </c>
      <c r="F62" s="2" t="s">
        <v>21</v>
      </c>
      <c r="G62" s="2" t="s">
        <v>401</v>
      </c>
      <c r="H62" s="2" t="s">
        <v>402</v>
      </c>
      <c r="I62" s="2" t="s">
        <v>104</v>
      </c>
      <c r="J62" s="2" t="s">
        <v>403</v>
      </c>
      <c r="K62" s="2" t="s">
        <v>404</v>
      </c>
      <c r="L62" s="2" t="s">
        <v>35</v>
      </c>
      <c r="M62" s="2" t="s">
        <v>405</v>
      </c>
    </row>
    <row r="63" ht="17.55" spans="1:13">
      <c r="A63" s="2" t="s">
        <v>396</v>
      </c>
      <c r="B63" s="3" t="s">
        <v>406</v>
      </c>
      <c r="C63" s="3" t="s">
        <v>407</v>
      </c>
      <c r="D63" s="3" t="s">
        <v>408</v>
      </c>
      <c r="E63" s="3" t="s">
        <v>409</v>
      </c>
      <c r="F63" s="3" t="s">
        <v>18</v>
      </c>
      <c r="G63" s="3" t="s">
        <v>410</v>
      </c>
      <c r="H63" s="3" t="s">
        <v>411</v>
      </c>
      <c r="I63" s="3" t="s">
        <v>44</v>
      </c>
      <c r="J63" s="3" t="s">
        <v>412</v>
      </c>
      <c r="K63" s="3" t="s">
        <v>23</v>
      </c>
      <c r="L63" s="3" t="s">
        <v>35</v>
      </c>
      <c r="M63" s="3" t="s">
        <v>413</v>
      </c>
    </row>
    <row r="64" ht="17.55" spans="1:13">
      <c r="A64" s="2" t="s">
        <v>396</v>
      </c>
      <c r="B64" s="2" t="s">
        <v>414</v>
      </c>
      <c r="C64" s="2" t="s">
        <v>415</v>
      </c>
      <c r="D64" s="2" t="s">
        <v>416</v>
      </c>
      <c r="E64" s="2" t="s">
        <v>417</v>
      </c>
      <c r="F64" s="2" t="s">
        <v>44</v>
      </c>
      <c r="G64" s="2" t="s">
        <v>418</v>
      </c>
      <c r="H64" s="2" t="s">
        <v>419</v>
      </c>
      <c r="I64" s="2" t="s">
        <v>95</v>
      </c>
      <c r="J64" s="2" t="s">
        <v>69</v>
      </c>
      <c r="K64" s="2" t="s">
        <v>23</v>
      </c>
      <c r="L64" s="2" t="s">
        <v>35</v>
      </c>
      <c r="M64" s="2" t="s">
        <v>420</v>
      </c>
    </row>
    <row r="65" ht="17.55" spans="1:13">
      <c r="A65" s="2" t="s">
        <v>396</v>
      </c>
      <c r="B65" s="3" t="s">
        <v>270</v>
      </c>
      <c r="C65" s="3" t="s">
        <v>421</v>
      </c>
      <c r="D65" s="3" t="s">
        <v>422</v>
      </c>
      <c r="E65" s="42">
        <v>0.02</v>
      </c>
      <c r="F65" s="3" t="s">
        <v>95</v>
      </c>
      <c r="G65" s="3" t="s">
        <v>423</v>
      </c>
      <c r="H65" s="42">
        <v>0.03</v>
      </c>
      <c r="I65" s="3" t="s">
        <v>377</v>
      </c>
      <c r="J65" s="3" t="s">
        <v>424</v>
      </c>
      <c r="K65" s="3" t="s">
        <v>23</v>
      </c>
      <c r="L65" s="3" t="s">
        <v>24</v>
      </c>
      <c r="M65" s="3" t="s">
        <v>425</v>
      </c>
    </row>
    <row r="66" ht="17.55" spans="1:13">
      <c r="A66" s="2" t="s">
        <v>426</v>
      </c>
      <c r="B66" s="2" t="s">
        <v>427</v>
      </c>
      <c r="C66" s="2" t="s">
        <v>428</v>
      </c>
      <c r="D66" s="2" t="s">
        <v>429</v>
      </c>
      <c r="E66" s="2" t="s">
        <v>430</v>
      </c>
      <c r="F66" s="2" t="s">
        <v>104</v>
      </c>
      <c r="G66" s="2" t="s">
        <v>431</v>
      </c>
      <c r="H66" s="2" t="s">
        <v>432</v>
      </c>
      <c r="I66" s="2" t="s">
        <v>44</v>
      </c>
      <c r="J66" s="2" t="s">
        <v>433</v>
      </c>
      <c r="K66" s="2" t="s">
        <v>434</v>
      </c>
      <c r="L66" s="2" t="s">
        <v>123</v>
      </c>
      <c r="M66" s="2" t="s">
        <v>435</v>
      </c>
    </row>
    <row r="67" ht="17.55" spans="1:13">
      <c r="A67" s="2" t="s">
        <v>426</v>
      </c>
      <c r="B67" s="3" t="s">
        <v>436</v>
      </c>
      <c r="C67" s="3" t="s">
        <v>437</v>
      </c>
      <c r="D67" s="3" t="s">
        <v>438</v>
      </c>
      <c r="E67" s="42">
        <v>0.98</v>
      </c>
      <c r="F67" s="3" t="s">
        <v>21</v>
      </c>
      <c r="G67" s="3" t="s">
        <v>439</v>
      </c>
      <c r="H67" s="42">
        <v>0.92</v>
      </c>
      <c r="I67" s="3" t="s">
        <v>52</v>
      </c>
      <c r="J67" s="3" t="s">
        <v>440</v>
      </c>
      <c r="K67" s="3" t="s">
        <v>23</v>
      </c>
      <c r="L67" s="3" t="s">
        <v>24</v>
      </c>
      <c r="M67" s="3" t="s">
        <v>441</v>
      </c>
    </row>
    <row r="68" ht="17.55" spans="1:13">
      <c r="A68" s="2" t="s">
        <v>426</v>
      </c>
      <c r="B68" s="2" t="s">
        <v>442</v>
      </c>
      <c r="C68" s="2" t="s">
        <v>443</v>
      </c>
      <c r="D68" s="2" t="s">
        <v>444</v>
      </c>
      <c r="E68" s="2" t="s">
        <v>445</v>
      </c>
      <c r="F68" s="2" t="s">
        <v>18</v>
      </c>
      <c r="G68" s="2" t="s">
        <v>446</v>
      </c>
      <c r="H68" s="2" t="s">
        <v>447</v>
      </c>
      <c r="I68" s="2" t="s">
        <v>377</v>
      </c>
      <c r="J68" s="2" t="s">
        <v>448</v>
      </c>
      <c r="K68" s="2" t="s">
        <v>23</v>
      </c>
      <c r="L68" s="2" t="s">
        <v>35</v>
      </c>
      <c r="M68" s="2" t="s">
        <v>449</v>
      </c>
    </row>
    <row r="69" ht="17.55" spans="1:13">
      <c r="A69" s="2" t="s">
        <v>426</v>
      </c>
      <c r="B69" s="3" t="s">
        <v>450</v>
      </c>
      <c r="C69" s="3" t="s">
        <v>451</v>
      </c>
      <c r="D69" s="3" t="s">
        <v>452</v>
      </c>
      <c r="E69" s="3" t="s">
        <v>453</v>
      </c>
      <c r="F69" s="3" t="s">
        <v>18</v>
      </c>
      <c r="G69" s="3" t="s">
        <v>431</v>
      </c>
      <c r="H69" s="3" t="s">
        <v>454</v>
      </c>
      <c r="I69" s="3" t="s">
        <v>30</v>
      </c>
      <c r="J69" s="3" t="s">
        <v>455</v>
      </c>
      <c r="K69" s="3" t="s">
        <v>23</v>
      </c>
      <c r="L69" s="3" t="s">
        <v>54</v>
      </c>
      <c r="M69" s="3" t="s">
        <v>456</v>
      </c>
    </row>
    <row r="70" ht="17.55" spans="1:13">
      <c r="A70" s="2" t="s">
        <v>457</v>
      </c>
      <c r="B70" s="2" t="s">
        <v>458</v>
      </c>
      <c r="C70" s="2" t="s">
        <v>459</v>
      </c>
      <c r="D70" s="2" t="s">
        <v>460</v>
      </c>
      <c r="E70" s="43">
        <v>0.004</v>
      </c>
      <c r="F70" s="2" t="s">
        <v>18</v>
      </c>
      <c r="G70" s="2" t="s">
        <v>461</v>
      </c>
      <c r="H70" s="43">
        <v>0.008</v>
      </c>
      <c r="I70" s="2" t="s">
        <v>95</v>
      </c>
      <c r="J70" s="2" t="s">
        <v>462</v>
      </c>
      <c r="K70" s="2" t="s">
        <v>463</v>
      </c>
      <c r="L70" s="2" t="s">
        <v>54</v>
      </c>
      <c r="M70" s="2" t="s">
        <v>464</v>
      </c>
    </row>
    <row r="71" ht="17.55" spans="1:13">
      <c r="A71" s="2" t="s">
        <v>457</v>
      </c>
      <c r="B71" s="3" t="s">
        <v>465</v>
      </c>
      <c r="C71" s="3" t="s">
        <v>466</v>
      </c>
      <c r="D71" s="3" t="s">
        <v>467</v>
      </c>
      <c r="E71" s="3" t="s">
        <v>468</v>
      </c>
      <c r="F71" s="3" t="s">
        <v>30</v>
      </c>
      <c r="G71" s="3" t="s">
        <v>469</v>
      </c>
      <c r="H71" s="3" t="s">
        <v>470</v>
      </c>
      <c r="I71" s="3" t="s">
        <v>41</v>
      </c>
      <c r="J71" s="3" t="s">
        <v>471</v>
      </c>
      <c r="K71" s="3" t="s">
        <v>23</v>
      </c>
      <c r="L71" s="3" t="s">
        <v>77</v>
      </c>
      <c r="M71" s="3" t="s">
        <v>472</v>
      </c>
    </row>
    <row r="72" ht="17.55" spans="1:13">
      <c r="A72" s="2" t="s">
        <v>457</v>
      </c>
      <c r="B72" s="2" t="s">
        <v>473</v>
      </c>
      <c r="C72" s="2" t="s">
        <v>474</v>
      </c>
      <c r="D72" s="2" t="s">
        <v>475</v>
      </c>
      <c r="E72" s="2" t="s">
        <v>476</v>
      </c>
      <c r="F72" s="2" t="s">
        <v>21</v>
      </c>
      <c r="G72" s="2" t="s">
        <v>477</v>
      </c>
      <c r="H72" s="2" t="s">
        <v>478</v>
      </c>
      <c r="I72" s="2" t="s">
        <v>95</v>
      </c>
      <c r="J72" s="2" t="s">
        <v>479</v>
      </c>
      <c r="K72" s="2" t="s">
        <v>23</v>
      </c>
      <c r="L72" s="2" t="s">
        <v>54</v>
      </c>
      <c r="M72" s="2" t="s">
        <v>480</v>
      </c>
    </row>
    <row r="73" ht="17.55" spans="1:13">
      <c r="A73" s="2" t="s">
        <v>457</v>
      </c>
      <c r="B73" s="3" t="s">
        <v>481</v>
      </c>
      <c r="C73" s="3" t="s">
        <v>482</v>
      </c>
      <c r="D73" s="3" t="s">
        <v>483</v>
      </c>
      <c r="E73" s="42">
        <v>0.22</v>
      </c>
      <c r="F73" s="3" t="s">
        <v>30</v>
      </c>
      <c r="G73" s="3" t="s">
        <v>469</v>
      </c>
      <c r="H73" s="42">
        <v>0.21</v>
      </c>
      <c r="I73" s="3" t="s">
        <v>21</v>
      </c>
      <c r="J73" s="3" t="s">
        <v>471</v>
      </c>
      <c r="K73" s="3" t="s">
        <v>23</v>
      </c>
      <c r="L73" s="3" t="s">
        <v>77</v>
      </c>
      <c r="M73" s="3" t="s">
        <v>484</v>
      </c>
    </row>
    <row r="74" ht="17.55" spans="1:13">
      <c r="A74" s="2" t="s">
        <v>485</v>
      </c>
      <c r="B74" s="2" t="s">
        <v>240</v>
      </c>
      <c r="C74" s="2" t="s">
        <v>486</v>
      </c>
      <c r="D74" s="2" t="s">
        <v>487</v>
      </c>
      <c r="E74" s="2" t="s">
        <v>488</v>
      </c>
      <c r="F74" s="2" t="s">
        <v>21</v>
      </c>
      <c r="G74" s="2" t="s">
        <v>489</v>
      </c>
      <c r="H74" s="2" t="s">
        <v>245</v>
      </c>
      <c r="I74" s="2" t="s">
        <v>393</v>
      </c>
      <c r="J74" s="2" t="s">
        <v>253</v>
      </c>
      <c r="K74" s="2" t="s">
        <v>490</v>
      </c>
      <c r="L74" s="2" t="s">
        <v>24</v>
      </c>
      <c r="M74" s="2" t="s">
        <v>491</v>
      </c>
    </row>
    <row r="75" ht="17.55" spans="1:13">
      <c r="A75" s="2" t="s">
        <v>485</v>
      </c>
      <c r="B75" s="3" t="s">
        <v>492</v>
      </c>
      <c r="C75" s="3" t="s">
        <v>493</v>
      </c>
      <c r="D75" s="3" t="s">
        <v>494</v>
      </c>
      <c r="E75" s="3" t="s">
        <v>495</v>
      </c>
      <c r="F75" s="3" t="s">
        <v>18</v>
      </c>
      <c r="G75" s="3" t="s">
        <v>496</v>
      </c>
      <c r="H75" s="3" t="s">
        <v>497</v>
      </c>
      <c r="I75" s="3" t="s">
        <v>498</v>
      </c>
      <c r="J75" s="3" t="s">
        <v>351</v>
      </c>
      <c r="K75" s="3" t="s">
        <v>23</v>
      </c>
      <c r="L75" s="3" t="s">
        <v>24</v>
      </c>
      <c r="M75" s="3" t="s">
        <v>499</v>
      </c>
    </row>
    <row r="76" ht="17.55" spans="1:13">
      <c r="A76" s="2" t="s">
        <v>485</v>
      </c>
      <c r="B76" s="2" t="s">
        <v>500</v>
      </c>
      <c r="C76" s="2" t="s">
        <v>501</v>
      </c>
      <c r="D76" s="2" t="s">
        <v>502</v>
      </c>
      <c r="E76" s="2" t="s">
        <v>503</v>
      </c>
      <c r="F76" s="2" t="s">
        <v>44</v>
      </c>
      <c r="G76" s="2" t="s">
        <v>489</v>
      </c>
      <c r="H76" s="2" t="s">
        <v>504</v>
      </c>
      <c r="I76" s="2" t="s">
        <v>384</v>
      </c>
      <c r="J76" s="2" t="s">
        <v>253</v>
      </c>
      <c r="K76" s="2" t="s">
        <v>23</v>
      </c>
      <c r="L76" s="2" t="s">
        <v>35</v>
      </c>
      <c r="M76" s="2" t="s">
        <v>505</v>
      </c>
    </row>
    <row r="77" ht="17.55" spans="1:13">
      <c r="A77" s="2" t="s">
        <v>485</v>
      </c>
      <c r="B77" s="3" t="s">
        <v>506</v>
      </c>
      <c r="C77" s="3" t="s">
        <v>507</v>
      </c>
      <c r="D77" s="3" t="s">
        <v>508</v>
      </c>
      <c r="E77" s="3" t="s">
        <v>509</v>
      </c>
      <c r="F77" s="3" t="s">
        <v>18</v>
      </c>
      <c r="G77" s="3" t="s">
        <v>496</v>
      </c>
      <c r="H77" s="3" t="s">
        <v>510</v>
      </c>
      <c r="I77" s="3" t="s">
        <v>377</v>
      </c>
      <c r="J77" s="3" t="s">
        <v>351</v>
      </c>
      <c r="K77" s="3" t="s">
        <v>23</v>
      </c>
      <c r="L77" s="3" t="s">
        <v>54</v>
      </c>
      <c r="M77" s="3" t="s">
        <v>511</v>
      </c>
    </row>
    <row r="78" ht="17.55" spans="1:13">
      <c r="A78" s="2" t="s">
        <v>512</v>
      </c>
      <c r="B78" s="2" t="s">
        <v>513</v>
      </c>
      <c r="C78" s="2" t="s">
        <v>107</v>
      </c>
      <c r="D78" s="2" t="s">
        <v>514</v>
      </c>
      <c r="E78" s="2" t="s">
        <v>515</v>
      </c>
      <c r="F78" s="2" t="s">
        <v>18</v>
      </c>
      <c r="G78" s="2" t="s">
        <v>516</v>
      </c>
      <c r="H78" s="2" t="s">
        <v>515</v>
      </c>
      <c r="I78" s="2" t="s">
        <v>18</v>
      </c>
      <c r="J78" s="2" t="s">
        <v>448</v>
      </c>
      <c r="K78" s="2" t="s">
        <v>517</v>
      </c>
      <c r="L78" s="2" t="s">
        <v>77</v>
      </c>
      <c r="M78" s="2" t="s">
        <v>518</v>
      </c>
    </row>
    <row r="79" ht="17.55" spans="1:13">
      <c r="A79" s="2" t="s">
        <v>512</v>
      </c>
      <c r="B79" s="3" t="s">
        <v>519</v>
      </c>
      <c r="C79" s="3" t="s">
        <v>166</v>
      </c>
      <c r="D79" s="3" t="s">
        <v>520</v>
      </c>
      <c r="E79" s="3" t="s">
        <v>168</v>
      </c>
      <c r="F79" s="3" t="s">
        <v>18</v>
      </c>
      <c r="G79" s="3" t="s">
        <v>186</v>
      </c>
      <c r="H79" s="3" t="s">
        <v>170</v>
      </c>
      <c r="I79" s="3" t="s">
        <v>74</v>
      </c>
      <c r="J79" s="3" t="s">
        <v>521</v>
      </c>
      <c r="K79" s="3" t="s">
        <v>23</v>
      </c>
      <c r="L79" s="3" t="s">
        <v>54</v>
      </c>
      <c r="M79" s="3" t="s">
        <v>522</v>
      </c>
    </row>
    <row r="80" ht="17.55" spans="1:13">
      <c r="A80" s="2" t="s">
        <v>512</v>
      </c>
      <c r="B80" s="2" t="s">
        <v>523</v>
      </c>
      <c r="C80" s="2" t="s">
        <v>524</v>
      </c>
      <c r="D80" s="2" t="s">
        <v>525</v>
      </c>
      <c r="E80" s="2" t="s">
        <v>526</v>
      </c>
      <c r="F80" s="2" t="s">
        <v>21</v>
      </c>
      <c r="G80" s="2" t="s">
        <v>527</v>
      </c>
      <c r="H80" s="2" t="s">
        <v>524</v>
      </c>
      <c r="I80" s="2" t="s">
        <v>104</v>
      </c>
      <c r="J80" s="2" t="s">
        <v>521</v>
      </c>
      <c r="K80" s="2" t="s">
        <v>23</v>
      </c>
      <c r="L80" s="2" t="s">
        <v>24</v>
      </c>
      <c r="M80" s="2" t="s">
        <v>528</v>
      </c>
    </row>
    <row r="81" ht="17.55" spans="1:13">
      <c r="A81" s="2" t="s">
        <v>512</v>
      </c>
      <c r="B81" s="3" t="s">
        <v>182</v>
      </c>
      <c r="C81" s="3" t="s">
        <v>183</v>
      </c>
      <c r="D81" s="3" t="s">
        <v>529</v>
      </c>
      <c r="E81" s="3" t="s">
        <v>530</v>
      </c>
      <c r="F81" s="3" t="s">
        <v>30</v>
      </c>
      <c r="G81" s="3" t="s">
        <v>178</v>
      </c>
      <c r="H81" s="3" t="s">
        <v>187</v>
      </c>
      <c r="I81" s="3" t="s">
        <v>21</v>
      </c>
      <c r="J81" s="3" t="s">
        <v>531</v>
      </c>
      <c r="K81" s="3" t="s">
        <v>23</v>
      </c>
      <c r="L81" s="3" t="s">
        <v>54</v>
      </c>
      <c r="M81" s="3" t="s">
        <v>532</v>
      </c>
    </row>
    <row r="82" ht="17.55" spans="1:13">
      <c r="A82" s="2" t="s">
        <v>533</v>
      </c>
      <c r="B82" s="2" t="s">
        <v>534</v>
      </c>
      <c r="C82" s="2" t="s">
        <v>535</v>
      </c>
      <c r="D82" s="2" t="s">
        <v>536</v>
      </c>
      <c r="E82" s="2" t="s">
        <v>537</v>
      </c>
      <c r="F82" s="2" t="s">
        <v>21</v>
      </c>
      <c r="G82" s="2" t="s">
        <v>538</v>
      </c>
      <c r="H82" s="2" t="s">
        <v>539</v>
      </c>
      <c r="I82" s="2" t="s">
        <v>33</v>
      </c>
      <c r="J82" s="2" t="s">
        <v>540</v>
      </c>
      <c r="K82" s="2" t="s">
        <v>541</v>
      </c>
      <c r="L82" s="2" t="s">
        <v>54</v>
      </c>
      <c r="M82" s="2" t="s">
        <v>542</v>
      </c>
    </row>
    <row r="83" ht="17.55" spans="1:13">
      <c r="A83" s="2" t="s">
        <v>533</v>
      </c>
      <c r="B83" s="3" t="s">
        <v>543</v>
      </c>
      <c r="C83" s="3" t="s">
        <v>544</v>
      </c>
      <c r="D83" s="3" t="s">
        <v>545</v>
      </c>
      <c r="E83" s="3">
        <v>0.22</v>
      </c>
      <c r="F83" s="3" t="s">
        <v>30</v>
      </c>
      <c r="G83" s="3" t="s">
        <v>546</v>
      </c>
      <c r="H83" s="3">
        <v>0.16</v>
      </c>
      <c r="I83" s="3" t="s">
        <v>95</v>
      </c>
      <c r="J83" s="3" t="s">
        <v>531</v>
      </c>
      <c r="K83" s="3" t="s">
        <v>23</v>
      </c>
      <c r="L83" s="3" t="s">
        <v>54</v>
      </c>
      <c r="M83" s="3" t="s">
        <v>547</v>
      </c>
    </row>
    <row r="84" ht="17.55" spans="1:13">
      <c r="A84" s="2" t="s">
        <v>533</v>
      </c>
      <c r="B84" s="2" t="s">
        <v>506</v>
      </c>
      <c r="C84" s="2" t="s">
        <v>507</v>
      </c>
      <c r="D84" s="2" t="s">
        <v>548</v>
      </c>
      <c r="E84" s="2" t="s">
        <v>509</v>
      </c>
      <c r="F84" s="2" t="s">
        <v>18</v>
      </c>
      <c r="G84" s="2" t="s">
        <v>538</v>
      </c>
      <c r="H84" s="2" t="s">
        <v>549</v>
      </c>
      <c r="I84" s="2" t="s">
        <v>44</v>
      </c>
      <c r="J84" s="2" t="s">
        <v>540</v>
      </c>
      <c r="K84" s="2" t="s">
        <v>23</v>
      </c>
      <c r="L84" s="2" t="s">
        <v>77</v>
      </c>
      <c r="M84" s="2" t="s">
        <v>550</v>
      </c>
    </row>
    <row r="85" ht="17.55" spans="1:13">
      <c r="A85" s="2" t="s">
        <v>533</v>
      </c>
      <c r="B85" s="3" t="s">
        <v>551</v>
      </c>
      <c r="C85" s="3" t="s">
        <v>552</v>
      </c>
      <c r="D85" s="3" t="s">
        <v>553</v>
      </c>
      <c r="E85" s="3" t="s">
        <v>554</v>
      </c>
      <c r="F85" s="3" t="s">
        <v>30</v>
      </c>
      <c r="G85" s="3" t="s">
        <v>546</v>
      </c>
      <c r="H85" s="3" t="s">
        <v>555</v>
      </c>
      <c r="I85" s="3" t="s">
        <v>95</v>
      </c>
      <c r="J85" s="3" t="s">
        <v>531</v>
      </c>
      <c r="K85" s="3" t="s">
        <v>23</v>
      </c>
      <c r="L85" s="3" t="s">
        <v>54</v>
      </c>
      <c r="M85" s="3" t="s">
        <v>556</v>
      </c>
    </row>
    <row r="86" ht="17.55" spans="1:13">
      <c r="A86" s="2" t="s">
        <v>557</v>
      </c>
      <c r="B86" s="2" t="s">
        <v>558</v>
      </c>
      <c r="C86" s="2" t="s">
        <v>559</v>
      </c>
      <c r="D86" s="2" t="s">
        <v>560</v>
      </c>
      <c r="E86" s="43">
        <v>0.99998</v>
      </c>
      <c r="F86" s="2" t="s">
        <v>18</v>
      </c>
      <c r="G86" s="2" t="s">
        <v>561</v>
      </c>
      <c r="H86" s="43">
        <v>0.99995</v>
      </c>
      <c r="I86" s="2" t="s">
        <v>30</v>
      </c>
      <c r="J86" s="2" t="s">
        <v>562</v>
      </c>
      <c r="K86" s="2" t="s">
        <v>563</v>
      </c>
      <c r="L86" s="2" t="s">
        <v>54</v>
      </c>
      <c r="M86" s="2" t="s">
        <v>564</v>
      </c>
    </row>
    <row r="87" ht="17.55" spans="1:13">
      <c r="A87" s="2" t="s">
        <v>557</v>
      </c>
      <c r="B87" s="3" t="s">
        <v>565</v>
      </c>
      <c r="C87" s="3" t="s">
        <v>566</v>
      </c>
      <c r="D87" s="3" t="s">
        <v>567</v>
      </c>
      <c r="E87" s="3" t="s">
        <v>568</v>
      </c>
      <c r="F87" s="3" t="s">
        <v>21</v>
      </c>
      <c r="G87" s="3" t="s">
        <v>569</v>
      </c>
      <c r="H87" s="3" t="s">
        <v>570</v>
      </c>
      <c r="I87" s="3" t="s">
        <v>95</v>
      </c>
      <c r="J87" s="3" t="s">
        <v>562</v>
      </c>
      <c r="K87" s="3" t="s">
        <v>23</v>
      </c>
      <c r="L87" s="3" t="s">
        <v>24</v>
      </c>
      <c r="M87" s="3" t="s">
        <v>571</v>
      </c>
    </row>
    <row r="88" ht="17.55" spans="1:13">
      <c r="A88" s="2" t="s">
        <v>557</v>
      </c>
      <c r="B88" s="2" t="s">
        <v>572</v>
      </c>
      <c r="C88" s="2" t="s">
        <v>573</v>
      </c>
      <c r="D88" s="2" t="s">
        <v>574</v>
      </c>
      <c r="E88" s="41">
        <v>0.99</v>
      </c>
      <c r="F88" s="2" t="s">
        <v>30</v>
      </c>
      <c r="G88" s="2" t="s">
        <v>561</v>
      </c>
      <c r="H88" s="41">
        <v>0.98</v>
      </c>
      <c r="I88" s="2" t="s">
        <v>21</v>
      </c>
      <c r="J88" s="2" t="s">
        <v>562</v>
      </c>
      <c r="K88" s="2" t="s">
        <v>23</v>
      </c>
      <c r="L88" s="2" t="s">
        <v>54</v>
      </c>
      <c r="M88" s="2" t="s">
        <v>575</v>
      </c>
    </row>
    <row r="89" ht="17.55" spans="1:13">
      <c r="A89" s="2" t="s">
        <v>557</v>
      </c>
      <c r="B89" s="3" t="s">
        <v>576</v>
      </c>
      <c r="C89" s="3" t="s">
        <v>577</v>
      </c>
      <c r="D89" s="3" t="s">
        <v>578</v>
      </c>
      <c r="E89" s="3" t="s">
        <v>579</v>
      </c>
      <c r="F89" s="3" t="s">
        <v>30</v>
      </c>
      <c r="G89" s="3" t="s">
        <v>569</v>
      </c>
      <c r="H89" s="3" t="s">
        <v>580</v>
      </c>
      <c r="I89" s="3" t="s">
        <v>44</v>
      </c>
      <c r="J89" s="3" t="s">
        <v>562</v>
      </c>
      <c r="K89" s="3" t="s">
        <v>23</v>
      </c>
      <c r="L89" s="3" t="s">
        <v>24</v>
      </c>
      <c r="M89" s="3" t="s">
        <v>581</v>
      </c>
    </row>
    <row r="90" ht="17.55" spans="1:13">
      <c r="A90" s="2" t="s">
        <v>582</v>
      </c>
      <c r="B90" s="2" t="s">
        <v>583</v>
      </c>
      <c r="C90" s="2" t="s">
        <v>584</v>
      </c>
      <c r="D90" s="2" t="s">
        <v>585</v>
      </c>
      <c r="E90" s="2" t="s">
        <v>586</v>
      </c>
      <c r="F90" s="2" t="s">
        <v>377</v>
      </c>
      <c r="G90" s="2" t="s">
        <v>587</v>
      </c>
      <c r="H90" s="2" t="s">
        <v>588</v>
      </c>
      <c r="I90" s="2" t="s">
        <v>498</v>
      </c>
      <c r="J90" s="2" t="s">
        <v>589</v>
      </c>
      <c r="K90" s="2" t="s">
        <v>590</v>
      </c>
      <c r="L90" s="2" t="s">
        <v>35</v>
      </c>
      <c r="M90" s="2" t="s">
        <v>591</v>
      </c>
    </row>
    <row r="91" ht="17.55" spans="1:13">
      <c r="A91" s="2" t="s">
        <v>582</v>
      </c>
      <c r="B91" s="3" t="s">
        <v>592</v>
      </c>
      <c r="C91" s="3" t="s">
        <v>593</v>
      </c>
      <c r="D91" s="3" t="s">
        <v>594</v>
      </c>
      <c r="E91" s="3" t="s">
        <v>595</v>
      </c>
      <c r="F91" s="3" t="s">
        <v>44</v>
      </c>
      <c r="G91" s="3" t="s">
        <v>596</v>
      </c>
      <c r="H91" s="3" t="s">
        <v>595</v>
      </c>
      <c r="I91" s="3" t="s">
        <v>44</v>
      </c>
      <c r="J91" s="3" t="s">
        <v>596</v>
      </c>
      <c r="K91" s="3" t="s">
        <v>23</v>
      </c>
      <c r="L91" s="3" t="s">
        <v>24</v>
      </c>
      <c r="M91" s="3" t="s">
        <v>597</v>
      </c>
    </row>
    <row r="92" ht="17.55" spans="1:13">
      <c r="A92" s="2" t="s">
        <v>582</v>
      </c>
      <c r="B92" s="2" t="s">
        <v>598</v>
      </c>
      <c r="C92" s="2" t="s">
        <v>599</v>
      </c>
      <c r="D92" s="2" t="s">
        <v>600</v>
      </c>
      <c r="E92" s="2" t="s">
        <v>510</v>
      </c>
      <c r="F92" s="2" t="s">
        <v>95</v>
      </c>
      <c r="G92" s="2" t="s">
        <v>587</v>
      </c>
      <c r="H92" s="2" t="s">
        <v>601</v>
      </c>
      <c r="I92" s="2" t="s">
        <v>377</v>
      </c>
      <c r="J92" s="2" t="s">
        <v>589</v>
      </c>
      <c r="K92" s="2" t="s">
        <v>23</v>
      </c>
      <c r="L92" s="2" t="s">
        <v>24</v>
      </c>
      <c r="M92" s="2" t="s">
        <v>602</v>
      </c>
    </row>
    <row r="93" ht="17.55" spans="1:13">
      <c r="A93" s="2" t="s">
        <v>582</v>
      </c>
      <c r="B93" s="3" t="s">
        <v>603</v>
      </c>
      <c r="C93" s="3" t="s">
        <v>604</v>
      </c>
      <c r="D93" s="3" t="s">
        <v>605</v>
      </c>
      <c r="E93" s="3" t="s">
        <v>606</v>
      </c>
      <c r="F93" s="3" t="s">
        <v>95</v>
      </c>
      <c r="G93" s="3" t="s">
        <v>607</v>
      </c>
      <c r="H93" s="3" t="s">
        <v>608</v>
      </c>
      <c r="I93" s="3" t="s">
        <v>377</v>
      </c>
      <c r="J93" s="3" t="s">
        <v>609</v>
      </c>
      <c r="K93" s="3" t="s">
        <v>23</v>
      </c>
      <c r="L93" s="3" t="s">
        <v>54</v>
      </c>
      <c r="M93" s="3" t="s">
        <v>610</v>
      </c>
    </row>
    <row r="94" ht="17.55" spans="1:13">
      <c r="A94" s="2" t="s">
        <v>611</v>
      </c>
      <c r="B94" s="2" t="s">
        <v>612</v>
      </c>
      <c r="C94" s="2" t="s">
        <v>613</v>
      </c>
      <c r="D94" s="2" t="s">
        <v>614</v>
      </c>
      <c r="E94" s="2" t="s">
        <v>615</v>
      </c>
      <c r="F94" s="2" t="s">
        <v>21</v>
      </c>
      <c r="G94" s="2" t="s">
        <v>616</v>
      </c>
      <c r="H94" s="2" t="s">
        <v>617</v>
      </c>
      <c r="I94" s="2" t="s">
        <v>104</v>
      </c>
      <c r="J94" s="2" t="s">
        <v>618</v>
      </c>
      <c r="K94" s="2" t="s">
        <v>619</v>
      </c>
      <c r="L94" s="2" t="s">
        <v>24</v>
      </c>
      <c r="M94" s="2" t="s">
        <v>620</v>
      </c>
    </row>
    <row r="95" ht="17.55" spans="1:13">
      <c r="A95" s="2" t="s">
        <v>611</v>
      </c>
      <c r="B95" s="3" t="s">
        <v>14</v>
      </c>
      <c r="C95" s="3" t="s">
        <v>15</v>
      </c>
      <c r="D95" s="3" t="s">
        <v>16</v>
      </c>
      <c r="E95" s="3" t="s">
        <v>17</v>
      </c>
      <c r="F95" s="3" t="s">
        <v>18</v>
      </c>
      <c r="G95" s="3" t="s">
        <v>19</v>
      </c>
      <c r="H95" s="3" t="s">
        <v>20</v>
      </c>
      <c r="I95" s="3" t="s">
        <v>21</v>
      </c>
      <c r="J95" s="3" t="s">
        <v>22</v>
      </c>
      <c r="K95" s="3" t="s">
        <v>23</v>
      </c>
      <c r="L95" s="3" t="s">
        <v>24</v>
      </c>
      <c r="M95" s="3" t="s">
        <v>25</v>
      </c>
    </row>
    <row r="96" ht="17.55" spans="1:13">
      <c r="A96" s="2" t="s">
        <v>611</v>
      </c>
      <c r="B96" s="2" t="s">
        <v>26</v>
      </c>
      <c r="C96" s="2" t="s">
        <v>27</v>
      </c>
      <c r="D96" s="2" t="s">
        <v>28</v>
      </c>
      <c r="E96" s="2" t="s">
        <v>29</v>
      </c>
      <c r="F96" s="2" t="s">
        <v>30</v>
      </c>
      <c r="G96" s="2" t="s">
        <v>31</v>
      </c>
      <c r="H96" s="2" t="s">
        <v>32</v>
      </c>
      <c r="I96" s="2" t="s">
        <v>33</v>
      </c>
      <c r="J96" s="2" t="s">
        <v>34</v>
      </c>
      <c r="K96" s="2" t="s">
        <v>23</v>
      </c>
      <c r="L96" s="2" t="s">
        <v>35</v>
      </c>
      <c r="M96" s="2" t="s">
        <v>36</v>
      </c>
    </row>
    <row r="97" ht="17.55" spans="1:13">
      <c r="A97" s="2" t="s">
        <v>611</v>
      </c>
      <c r="B97" s="3" t="s">
        <v>37</v>
      </c>
      <c r="C97" s="3" t="s">
        <v>38</v>
      </c>
      <c r="D97" s="3" t="s">
        <v>39</v>
      </c>
      <c r="E97" s="3" t="s">
        <v>40</v>
      </c>
      <c r="F97" s="3" t="s">
        <v>41</v>
      </c>
      <c r="G97" s="3" t="s">
        <v>42</v>
      </c>
      <c r="H97" s="3" t="s">
        <v>43</v>
      </c>
      <c r="I97" s="3" t="s">
        <v>44</v>
      </c>
      <c r="J97" s="3" t="s">
        <v>45</v>
      </c>
      <c r="K97" s="3" t="s">
        <v>23</v>
      </c>
      <c r="L97" s="3" t="s">
        <v>24</v>
      </c>
      <c r="M97" s="3" t="s">
        <v>46</v>
      </c>
    </row>
    <row r="98" ht="17.55" spans="1:13">
      <c r="A98" s="2" t="s">
        <v>611</v>
      </c>
      <c r="B98" s="2" t="s">
        <v>47</v>
      </c>
      <c r="C98" s="2" t="s">
        <v>48</v>
      </c>
      <c r="D98" s="2" t="s">
        <v>49</v>
      </c>
      <c r="E98" s="2" t="s">
        <v>50</v>
      </c>
      <c r="F98" s="2" t="s">
        <v>18</v>
      </c>
      <c r="G98" s="2" t="s">
        <v>19</v>
      </c>
      <c r="H98" s="2" t="s">
        <v>51</v>
      </c>
      <c r="I98" s="2" t="s">
        <v>52</v>
      </c>
      <c r="J98" s="2" t="s">
        <v>53</v>
      </c>
      <c r="K98" s="2" t="s">
        <v>23</v>
      </c>
      <c r="L98" s="2" t="s">
        <v>54</v>
      </c>
      <c r="M98" s="2" t="s">
        <v>55</v>
      </c>
    </row>
    <row r="99" ht="17.55" spans="1:13">
      <c r="A99" s="2" t="s">
        <v>611</v>
      </c>
      <c r="B99" s="3" t="s">
        <v>56</v>
      </c>
      <c r="C99" s="3" t="s">
        <v>57</v>
      </c>
      <c r="D99" s="3" t="s">
        <v>58</v>
      </c>
      <c r="E99" s="3" t="s">
        <v>59</v>
      </c>
      <c r="F99" s="3" t="s">
        <v>18</v>
      </c>
      <c r="G99" s="3" t="s">
        <v>60</v>
      </c>
      <c r="H99" s="3" t="s">
        <v>61</v>
      </c>
      <c r="I99" s="3" t="s">
        <v>44</v>
      </c>
      <c r="J99" s="3" t="s">
        <v>62</v>
      </c>
      <c r="K99" s="3" t="s">
        <v>23</v>
      </c>
      <c r="L99" s="3" t="s">
        <v>24</v>
      </c>
      <c r="M99" s="3" t="s">
        <v>63</v>
      </c>
    </row>
    <row r="100" ht="17.55" spans="1:13">
      <c r="A100" s="2" t="s">
        <v>611</v>
      </c>
      <c r="B100" s="2" t="s">
        <v>64</v>
      </c>
      <c r="C100" s="2" t="s">
        <v>65</v>
      </c>
      <c r="D100" s="2" t="s">
        <v>66</v>
      </c>
      <c r="E100" s="2" t="s">
        <v>67</v>
      </c>
      <c r="F100" s="2" t="s">
        <v>21</v>
      </c>
      <c r="G100" s="2" t="s">
        <v>68</v>
      </c>
      <c r="H100" s="2" t="s">
        <v>67</v>
      </c>
      <c r="I100" s="2" t="s">
        <v>21</v>
      </c>
      <c r="J100" s="2" t="s">
        <v>69</v>
      </c>
      <c r="K100" s="2" t="s">
        <v>23</v>
      </c>
      <c r="L100" s="2" t="s">
        <v>35</v>
      </c>
      <c r="M100" s="2" t="s">
        <v>70</v>
      </c>
    </row>
    <row r="101" ht="17.55" spans="1:13">
      <c r="A101" s="2" t="s">
        <v>611</v>
      </c>
      <c r="B101" s="3" t="s">
        <v>71</v>
      </c>
      <c r="C101" s="3" t="s">
        <v>72</v>
      </c>
      <c r="D101" s="3" t="s">
        <v>73</v>
      </c>
      <c r="E101" s="42">
        <v>0.92</v>
      </c>
      <c r="F101" s="3" t="s">
        <v>74</v>
      </c>
      <c r="G101" s="3" t="s">
        <v>75</v>
      </c>
      <c r="H101" s="42">
        <v>0.85</v>
      </c>
      <c r="I101" s="3" t="s">
        <v>21</v>
      </c>
      <c r="J101" s="3" t="s">
        <v>76</v>
      </c>
      <c r="K101" s="3" t="s">
        <v>23</v>
      </c>
      <c r="L101" s="3" t="s">
        <v>77</v>
      </c>
      <c r="M101" s="3" t="s">
        <v>78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8"/>
  <sheetViews>
    <sheetView tabSelected="1" workbookViewId="0">
      <pane xSplit="2" ySplit="1" topLeftCell="C2" activePane="bottomRight" state="frozen"/>
      <selection/>
      <selection pane="topRight"/>
      <selection pane="bottomLeft"/>
      <selection pane="bottomRight" activeCell="F64" sqref="F64"/>
    </sheetView>
  </sheetViews>
  <sheetFormatPr defaultColWidth="9.23076923076923" defaultRowHeight="16.8"/>
  <cols>
    <col min="1" max="1" width="17.7884615384615" style="7" customWidth="1"/>
    <col min="2" max="2" width="24.0288461538462" customWidth="1"/>
    <col min="3" max="3" width="15.2211538461538" customWidth="1"/>
    <col min="4" max="4" width="41.5" customWidth="1"/>
    <col min="5" max="5" width="21.4615384615385" style="8" customWidth="1"/>
    <col min="6" max="6" width="14.1057692307692" customWidth="1"/>
    <col min="7" max="7" width="22.75" customWidth="1"/>
    <col min="8" max="8" width="18.4230769230769" style="9" customWidth="1"/>
    <col min="9" max="9" width="13.4519230769231" customWidth="1"/>
    <col min="10" max="10" width="14.5769230769231" style="10" customWidth="1"/>
    <col min="11" max="11" width="41.8461538461538" customWidth="1"/>
    <col min="12" max="12" width="48.0673076923077" customWidth="1"/>
    <col min="13" max="13" width="29.4903846153846" style="11" customWidth="1"/>
  </cols>
  <sheetData>
    <row r="1" ht="34" spans="1:13">
      <c r="A1" s="12" t="s">
        <v>0</v>
      </c>
      <c r="B1" s="13" t="s">
        <v>1</v>
      </c>
      <c r="C1" s="13" t="s">
        <v>2</v>
      </c>
      <c r="D1" s="13" t="s">
        <v>3</v>
      </c>
      <c r="E1" s="14" t="s">
        <v>4</v>
      </c>
      <c r="F1" s="13" t="s">
        <v>5</v>
      </c>
      <c r="G1" s="13" t="s">
        <v>6</v>
      </c>
      <c r="H1" s="15" t="s">
        <v>7</v>
      </c>
      <c r="I1" s="13" t="s">
        <v>621</v>
      </c>
      <c r="J1" s="16" t="s">
        <v>622</v>
      </c>
      <c r="K1" s="13" t="s">
        <v>9</v>
      </c>
      <c r="L1" s="13" t="s">
        <v>12</v>
      </c>
      <c r="M1" s="13" t="s">
        <v>10</v>
      </c>
    </row>
    <row r="2" ht="17" spans="1:13">
      <c r="A2" s="17" t="s">
        <v>611</v>
      </c>
      <c r="B2" s="18" t="s">
        <v>612</v>
      </c>
      <c r="C2" s="18" t="s">
        <v>613</v>
      </c>
      <c r="D2" s="18" t="s">
        <v>614</v>
      </c>
      <c r="E2" s="19" t="s">
        <v>615</v>
      </c>
      <c r="F2" s="18" t="s">
        <v>21</v>
      </c>
      <c r="G2" s="18" t="s">
        <v>616</v>
      </c>
      <c r="H2" s="20" t="s">
        <v>617</v>
      </c>
      <c r="I2" s="18">
        <v>80</v>
      </c>
      <c r="J2" s="21">
        <f>AVERAGE(I2:I9)</f>
        <v>80.25</v>
      </c>
      <c r="K2" s="18" t="s">
        <v>618</v>
      </c>
      <c r="L2" s="18" t="s">
        <v>620</v>
      </c>
      <c r="M2" s="22" t="s">
        <v>619</v>
      </c>
    </row>
    <row r="3" ht="17" spans="1:13">
      <c r="A3" s="17"/>
      <c r="B3" s="23" t="s">
        <v>14</v>
      </c>
      <c r="C3" s="23" t="s">
        <v>15</v>
      </c>
      <c r="D3" s="23" t="s">
        <v>16</v>
      </c>
      <c r="E3" s="24" t="s">
        <v>17</v>
      </c>
      <c r="F3" s="23" t="s">
        <v>18</v>
      </c>
      <c r="G3" s="23" t="s">
        <v>19</v>
      </c>
      <c r="H3" s="25" t="s">
        <v>20</v>
      </c>
      <c r="I3" s="23">
        <v>85</v>
      </c>
      <c r="J3" s="21"/>
      <c r="K3" s="23" t="s">
        <v>22</v>
      </c>
      <c r="L3" s="23" t="s">
        <v>25</v>
      </c>
      <c r="M3" s="22"/>
    </row>
    <row r="4" ht="17" spans="1:13">
      <c r="A4" s="17"/>
      <c r="B4" s="18" t="s">
        <v>26</v>
      </c>
      <c r="C4" s="18" t="s">
        <v>27</v>
      </c>
      <c r="D4" s="18" t="s">
        <v>28</v>
      </c>
      <c r="E4" s="19" t="s">
        <v>29</v>
      </c>
      <c r="F4" s="18" t="s">
        <v>30</v>
      </c>
      <c r="G4" s="18" t="s">
        <v>31</v>
      </c>
      <c r="H4" s="20" t="s">
        <v>32</v>
      </c>
      <c r="I4" s="18">
        <v>72</v>
      </c>
      <c r="J4" s="21"/>
      <c r="K4" s="18" t="s">
        <v>34</v>
      </c>
      <c r="L4" s="18" t="s">
        <v>36</v>
      </c>
      <c r="M4" s="22"/>
    </row>
    <row r="5" ht="17" spans="1:13">
      <c r="A5" s="17"/>
      <c r="B5" s="23" t="s">
        <v>37</v>
      </c>
      <c r="C5" s="23" t="s">
        <v>38</v>
      </c>
      <c r="D5" s="23" t="s">
        <v>39</v>
      </c>
      <c r="E5" s="24" t="s">
        <v>40</v>
      </c>
      <c r="F5" s="23" t="s">
        <v>41</v>
      </c>
      <c r="G5" s="23" t="s">
        <v>42</v>
      </c>
      <c r="H5" s="25" t="s">
        <v>43</v>
      </c>
      <c r="I5" s="23">
        <v>75</v>
      </c>
      <c r="J5" s="21"/>
      <c r="K5" s="23" t="s">
        <v>45</v>
      </c>
      <c r="L5" s="23" t="s">
        <v>46</v>
      </c>
      <c r="M5" s="22"/>
    </row>
    <row r="6" ht="17" spans="1:13">
      <c r="A6" s="17"/>
      <c r="B6" s="18" t="s">
        <v>47</v>
      </c>
      <c r="C6" s="18" t="s">
        <v>48</v>
      </c>
      <c r="D6" s="18" t="s">
        <v>49</v>
      </c>
      <c r="E6" s="19" t="s">
        <v>50</v>
      </c>
      <c r="F6" s="18" t="s">
        <v>18</v>
      </c>
      <c r="G6" s="18" t="s">
        <v>19</v>
      </c>
      <c r="H6" s="20" t="s">
        <v>51</v>
      </c>
      <c r="I6" s="18">
        <v>78</v>
      </c>
      <c r="J6" s="21"/>
      <c r="K6" s="18" t="s">
        <v>53</v>
      </c>
      <c r="L6" s="18" t="s">
        <v>55</v>
      </c>
      <c r="M6" s="22"/>
    </row>
    <row r="7" ht="17" spans="1:13">
      <c r="A7" s="17"/>
      <c r="B7" s="23" t="s">
        <v>56</v>
      </c>
      <c r="C7" s="23" t="s">
        <v>57</v>
      </c>
      <c r="D7" s="23" t="s">
        <v>58</v>
      </c>
      <c r="E7" s="24" t="s">
        <v>59</v>
      </c>
      <c r="F7" s="23" t="s">
        <v>18</v>
      </c>
      <c r="G7" s="23" t="s">
        <v>60</v>
      </c>
      <c r="H7" s="25" t="s">
        <v>61</v>
      </c>
      <c r="I7" s="23">
        <v>75</v>
      </c>
      <c r="J7" s="21"/>
      <c r="K7" s="23" t="s">
        <v>62</v>
      </c>
      <c r="L7" s="23" t="s">
        <v>63</v>
      </c>
      <c r="M7" s="22"/>
    </row>
    <row r="8" ht="17" spans="1:13">
      <c r="A8" s="17"/>
      <c r="B8" s="18" t="s">
        <v>64</v>
      </c>
      <c r="C8" s="18" t="s">
        <v>65</v>
      </c>
      <c r="D8" s="18" t="s">
        <v>66</v>
      </c>
      <c r="E8" s="19" t="s">
        <v>67</v>
      </c>
      <c r="F8" s="18" t="s">
        <v>21</v>
      </c>
      <c r="G8" s="18" t="s">
        <v>68</v>
      </c>
      <c r="H8" s="20" t="s">
        <v>67</v>
      </c>
      <c r="I8" s="18">
        <v>85</v>
      </c>
      <c r="J8" s="21"/>
      <c r="K8" s="18" t="s">
        <v>69</v>
      </c>
      <c r="L8" s="18" t="s">
        <v>70</v>
      </c>
      <c r="M8" s="22"/>
    </row>
    <row r="9" ht="17" spans="1:13">
      <c r="A9" s="17"/>
      <c r="B9" s="23" t="s">
        <v>71</v>
      </c>
      <c r="C9" s="23" t="s">
        <v>72</v>
      </c>
      <c r="D9" s="23" t="s">
        <v>73</v>
      </c>
      <c r="E9" s="26" t="s">
        <v>23</v>
      </c>
      <c r="F9" s="23" t="s">
        <v>23</v>
      </c>
      <c r="G9" s="23" t="s">
        <v>23</v>
      </c>
      <c r="H9" s="27">
        <v>0.92</v>
      </c>
      <c r="I9" s="28">
        <v>92</v>
      </c>
      <c r="J9" s="21"/>
      <c r="K9" s="28" t="s">
        <v>75</v>
      </c>
      <c r="L9" s="23" t="s">
        <v>78</v>
      </c>
      <c r="M9" s="22"/>
    </row>
    <row r="10" ht="17" spans="1:13">
      <c r="A10" s="17" t="s">
        <v>582</v>
      </c>
      <c r="B10" s="18" t="s">
        <v>583</v>
      </c>
      <c r="C10" s="18" t="s">
        <v>584</v>
      </c>
      <c r="D10" s="18" t="s">
        <v>585</v>
      </c>
      <c r="E10" s="19" t="s">
        <v>586</v>
      </c>
      <c r="F10" s="18" t="s">
        <v>377</v>
      </c>
      <c r="G10" s="18" t="s">
        <v>587</v>
      </c>
      <c r="H10" s="20" t="s">
        <v>588</v>
      </c>
      <c r="I10" s="18">
        <v>55</v>
      </c>
      <c r="J10" s="21">
        <f>AVERAGE(I10:I13)</f>
        <v>65</v>
      </c>
      <c r="K10" s="18" t="s">
        <v>589</v>
      </c>
      <c r="L10" s="18" t="s">
        <v>591</v>
      </c>
      <c r="M10" s="22" t="s">
        <v>590</v>
      </c>
    </row>
    <row r="11" ht="17" spans="1:13">
      <c r="A11" s="17"/>
      <c r="B11" s="23" t="s">
        <v>592</v>
      </c>
      <c r="C11" s="23" t="s">
        <v>593</v>
      </c>
      <c r="D11" s="23" t="s">
        <v>594</v>
      </c>
      <c r="E11" s="24" t="s">
        <v>595</v>
      </c>
      <c r="F11" s="23" t="s">
        <v>44</v>
      </c>
      <c r="G11" s="23" t="s">
        <v>596</v>
      </c>
      <c r="H11" s="25" t="s">
        <v>595</v>
      </c>
      <c r="I11" s="23">
        <v>75</v>
      </c>
      <c r="J11" s="21"/>
      <c r="K11" s="23" t="s">
        <v>596</v>
      </c>
      <c r="L11" s="23" t="s">
        <v>597</v>
      </c>
      <c r="M11" s="22"/>
    </row>
    <row r="12" ht="17" spans="1:13">
      <c r="A12" s="17"/>
      <c r="B12" s="18" t="s">
        <v>598</v>
      </c>
      <c r="C12" s="18" t="s">
        <v>599</v>
      </c>
      <c r="D12" s="18" t="s">
        <v>600</v>
      </c>
      <c r="E12" s="19" t="s">
        <v>510</v>
      </c>
      <c r="F12" s="18" t="s">
        <v>95</v>
      </c>
      <c r="G12" s="18" t="s">
        <v>587</v>
      </c>
      <c r="H12" s="20" t="s">
        <v>601</v>
      </c>
      <c r="I12" s="18">
        <v>65</v>
      </c>
      <c r="J12" s="21"/>
      <c r="K12" s="18" t="s">
        <v>589</v>
      </c>
      <c r="L12" s="18" t="s">
        <v>602</v>
      </c>
      <c r="M12" s="22"/>
    </row>
    <row r="13" ht="17" spans="1:13">
      <c r="A13" s="17"/>
      <c r="B13" s="23" t="s">
        <v>603</v>
      </c>
      <c r="C13" s="23" t="s">
        <v>604</v>
      </c>
      <c r="D13" s="23" t="s">
        <v>605</v>
      </c>
      <c r="E13" s="24" t="s">
        <v>606</v>
      </c>
      <c r="F13" s="23" t="s">
        <v>95</v>
      </c>
      <c r="G13" s="23" t="s">
        <v>607</v>
      </c>
      <c r="H13" s="25" t="s">
        <v>608</v>
      </c>
      <c r="I13" s="23">
        <v>65</v>
      </c>
      <c r="J13" s="21"/>
      <c r="K13" s="23" t="s">
        <v>609</v>
      </c>
      <c r="L13" s="23" t="s">
        <v>610</v>
      </c>
      <c r="M13" s="22"/>
    </row>
    <row r="14" ht="17" spans="1:13">
      <c r="A14" s="17" t="s">
        <v>138</v>
      </c>
      <c r="B14" s="18" t="s">
        <v>139</v>
      </c>
      <c r="C14" s="18" t="s">
        <v>140</v>
      </c>
      <c r="D14" s="18" t="s">
        <v>141</v>
      </c>
      <c r="E14" s="19" t="s">
        <v>142</v>
      </c>
      <c r="F14" s="18" t="s">
        <v>18</v>
      </c>
      <c r="G14" s="18" t="s">
        <v>143</v>
      </c>
      <c r="H14" s="20" t="s">
        <v>144</v>
      </c>
      <c r="I14" s="18">
        <v>82</v>
      </c>
      <c r="J14" s="21">
        <f>AVERAGE(I14:I16)</f>
        <v>79</v>
      </c>
      <c r="K14" s="18" t="s">
        <v>145</v>
      </c>
      <c r="L14" s="18" t="s">
        <v>147</v>
      </c>
      <c r="M14" s="22" t="s">
        <v>146</v>
      </c>
    </row>
    <row r="15" ht="17" spans="1:13">
      <c r="A15" s="17"/>
      <c r="B15" s="23" t="s">
        <v>148</v>
      </c>
      <c r="C15" s="23" t="s">
        <v>149</v>
      </c>
      <c r="D15" s="23" t="s">
        <v>150</v>
      </c>
      <c r="E15" s="24" t="s">
        <v>151</v>
      </c>
      <c r="F15" s="23" t="s">
        <v>30</v>
      </c>
      <c r="G15" s="23" t="s">
        <v>152</v>
      </c>
      <c r="H15" s="25" t="s">
        <v>153</v>
      </c>
      <c r="I15" s="23">
        <v>75</v>
      </c>
      <c r="J15" s="21"/>
      <c r="K15" s="23" t="s">
        <v>154</v>
      </c>
      <c r="L15" s="23" t="s">
        <v>155</v>
      </c>
      <c r="M15" s="22"/>
    </row>
    <row r="16" ht="17" spans="1:13">
      <c r="A16" s="17"/>
      <c r="B16" s="18" t="s">
        <v>156</v>
      </c>
      <c r="C16" s="18" t="s">
        <v>157</v>
      </c>
      <c r="D16" s="18" t="s">
        <v>158</v>
      </c>
      <c r="E16" s="19" t="s">
        <v>159</v>
      </c>
      <c r="F16" s="18" t="s">
        <v>21</v>
      </c>
      <c r="G16" s="18" t="s">
        <v>160</v>
      </c>
      <c r="H16" s="20" t="s">
        <v>161</v>
      </c>
      <c r="I16" s="18">
        <v>80</v>
      </c>
      <c r="J16" s="21"/>
      <c r="K16" s="18" t="s">
        <v>162</v>
      </c>
      <c r="L16" s="18" t="s">
        <v>163</v>
      </c>
      <c r="M16" s="22"/>
    </row>
    <row r="17" ht="17" spans="1:13">
      <c r="A17" s="29" t="s">
        <v>114</v>
      </c>
      <c r="B17" s="23" t="s">
        <v>115</v>
      </c>
      <c r="C17" s="23" t="s">
        <v>116</v>
      </c>
      <c r="D17" s="23" t="s">
        <v>117</v>
      </c>
      <c r="E17" s="24" t="s">
        <v>118</v>
      </c>
      <c r="F17" s="23" t="s">
        <v>21</v>
      </c>
      <c r="G17" s="23" t="s">
        <v>119</v>
      </c>
      <c r="H17" s="25" t="s">
        <v>120</v>
      </c>
      <c r="I17" s="23">
        <v>70</v>
      </c>
      <c r="J17" s="30">
        <f>AVERAGE(I17:I19)</f>
        <v>74.3333333333333</v>
      </c>
      <c r="K17" s="23" t="s">
        <v>121</v>
      </c>
      <c r="L17" s="23" t="s">
        <v>124</v>
      </c>
      <c r="M17" s="31" t="s">
        <v>122</v>
      </c>
    </row>
    <row r="18" ht="17" spans="1:13">
      <c r="A18" s="29"/>
      <c r="B18" s="18" t="s">
        <v>125</v>
      </c>
      <c r="C18" s="18" t="s">
        <v>126</v>
      </c>
      <c r="D18" s="18" t="s">
        <v>127</v>
      </c>
      <c r="E18" s="19" t="s">
        <v>128</v>
      </c>
      <c r="F18" s="18" t="s">
        <v>30</v>
      </c>
      <c r="G18" s="18" t="s">
        <v>129</v>
      </c>
      <c r="H18" s="20" t="s">
        <v>130</v>
      </c>
      <c r="I18" s="18">
        <v>75</v>
      </c>
      <c r="J18" s="30"/>
      <c r="K18" s="18" t="s">
        <v>131</v>
      </c>
      <c r="L18" s="18" t="s">
        <v>132</v>
      </c>
      <c r="M18" s="31"/>
    </row>
    <row r="19" ht="17" spans="1:13">
      <c r="A19" s="29"/>
      <c r="B19" s="23" t="s">
        <v>133</v>
      </c>
      <c r="C19" s="23" t="s">
        <v>72</v>
      </c>
      <c r="D19" s="23" t="s">
        <v>134</v>
      </c>
      <c r="E19" s="26">
        <v>0.87</v>
      </c>
      <c r="F19" s="23" t="s">
        <v>30</v>
      </c>
      <c r="G19" s="23" t="s">
        <v>135</v>
      </c>
      <c r="H19" s="32">
        <v>0.82</v>
      </c>
      <c r="I19" s="23">
        <v>78</v>
      </c>
      <c r="J19" s="30"/>
      <c r="K19" s="23" t="s">
        <v>136</v>
      </c>
      <c r="L19" s="23" t="s">
        <v>137</v>
      </c>
      <c r="M19" s="31"/>
    </row>
    <row r="20" ht="17" spans="1:13">
      <c r="A20" s="29" t="s">
        <v>321</v>
      </c>
      <c r="B20" s="23" t="s">
        <v>322</v>
      </c>
      <c r="C20" s="23" t="s">
        <v>323</v>
      </c>
      <c r="D20" s="23" t="s">
        <v>324</v>
      </c>
      <c r="E20" s="24" t="s">
        <v>325</v>
      </c>
      <c r="F20" s="23" t="s">
        <v>21</v>
      </c>
      <c r="G20" s="23" t="s">
        <v>326</v>
      </c>
      <c r="H20" s="25" t="s">
        <v>327</v>
      </c>
      <c r="I20" s="23">
        <v>80</v>
      </c>
      <c r="J20" s="30">
        <f>AVERAGE(I20:I21)</f>
        <v>81</v>
      </c>
      <c r="K20" s="23" t="s">
        <v>328</v>
      </c>
      <c r="L20" s="23" t="s">
        <v>330</v>
      </c>
      <c r="M20" s="31" t="s">
        <v>329</v>
      </c>
    </row>
    <row r="21" ht="17" spans="1:13">
      <c r="A21" s="29"/>
      <c r="B21" s="18" t="s">
        <v>331</v>
      </c>
      <c r="C21" s="18" t="s">
        <v>332</v>
      </c>
      <c r="D21" s="18" t="s">
        <v>333</v>
      </c>
      <c r="E21" s="19" t="s">
        <v>334</v>
      </c>
      <c r="F21" s="18" t="s">
        <v>30</v>
      </c>
      <c r="G21" s="18" t="s">
        <v>335</v>
      </c>
      <c r="H21" s="20" t="s">
        <v>336</v>
      </c>
      <c r="I21" s="18">
        <v>82</v>
      </c>
      <c r="J21" s="30"/>
      <c r="K21" s="18" t="s">
        <v>337</v>
      </c>
      <c r="L21" s="18" t="s">
        <v>338</v>
      </c>
      <c r="M21" s="31"/>
    </row>
    <row r="22" ht="17" spans="1:13">
      <c r="A22" s="29" t="s">
        <v>345</v>
      </c>
      <c r="B22" s="23" t="s">
        <v>346</v>
      </c>
      <c r="C22" s="23" t="s">
        <v>347</v>
      </c>
      <c r="D22" s="23" t="s">
        <v>348</v>
      </c>
      <c r="E22" s="24" t="s">
        <v>349</v>
      </c>
      <c r="F22" s="23" t="s">
        <v>18</v>
      </c>
      <c r="G22" s="23" t="s">
        <v>350</v>
      </c>
      <c r="H22" s="25" t="s">
        <v>349</v>
      </c>
      <c r="I22" s="23">
        <v>90</v>
      </c>
      <c r="J22" s="30">
        <f>AVERAGE(I22:I24)</f>
        <v>85</v>
      </c>
      <c r="K22" s="23" t="s">
        <v>351</v>
      </c>
      <c r="L22" s="23" t="s">
        <v>353</v>
      </c>
      <c r="M22" s="31" t="s">
        <v>352</v>
      </c>
    </row>
    <row r="23" ht="17" spans="1:13">
      <c r="A23" s="29"/>
      <c r="B23" s="18" t="s">
        <v>354</v>
      </c>
      <c r="C23" s="18" t="s">
        <v>355</v>
      </c>
      <c r="D23" s="18" t="s">
        <v>356</v>
      </c>
      <c r="E23" s="19" t="s">
        <v>357</v>
      </c>
      <c r="F23" s="18" t="s">
        <v>104</v>
      </c>
      <c r="G23" s="18" t="s">
        <v>350</v>
      </c>
      <c r="H23" s="20" t="s">
        <v>357</v>
      </c>
      <c r="I23" s="18">
        <v>80</v>
      </c>
      <c r="J23" s="30"/>
      <c r="K23" s="18" t="s">
        <v>351</v>
      </c>
      <c r="L23" s="18" t="s">
        <v>358</v>
      </c>
      <c r="M23" s="31"/>
    </row>
    <row r="24" ht="17" spans="1:13">
      <c r="A24" s="29"/>
      <c r="B24" s="23" t="s">
        <v>359</v>
      </c>
      <c r="C24" s="23" t="s">
        <v>72</v>
      </c>
      <c r="D24" s="23" t="s">
        <v>360</v>
      </c>
      <c r="E24" s="26">
        <v>0.88</v>
      </c>
      <c r="F24" s="23" t="s">
        <v>30</v>
      </c>
      <c r="G24" s="23" t="s">
        <v>361</v>
      </c>
      <c r="H24" s="32">
        <v>0.85</v>
      </c>
      <c r="I24" s="23">
        <v>85</v>
      </c>
      <c r="J24" s="30"/>
      <c r="K24" s="23" t="s">
        <v>351</v>
      </c>
      <c r="L24" s="23" t="s">
        <v>362</v>
      </c>
      <c r="M24" s="31"/>
    </row>
    <row r="25" ht="17" spans="1:13">
      <c r="A25" s="17" t="s">
        <v>363</v>
      </c>
      <c r="B25" s="18" t="s">
        <v>364</v>
      </c>
      <c r="C25" s="18" t="s">
        <v>365</v>
      </c>
      <c r="D25" s="18" t="s">
        <v>366</v>
      </c>
      <c r="E25" s="19" t="s">
        <v>367</v>
      </c>
      <c r="F25" s="18" t="s">
        <v>21</v>
      </c>
      <c r="G25" s="18" t="s">
        <v>211</v>
      </c>
      <c r="H25" s="20" t="s">
        <v>368</v>
      </c>
      <c r="I25" s="33">
        <v>70</v>
      </c>
      <c r="J25" s="21">
        <f>AVERAGE(I25:I28)</f>
        <v>62.5</v>
      </c>
      <c r="K25" s="18" t="s">
        <v>369</v>
      </c>
      <c r="L25" s="18" t="s">
        <v>371</v>
      </c>
      <c r="M25" s="22" t="s">
        <v>370</v>
      </c>
    </row>
    <row r="26" ht="17" spans="1:13">
      <c r="A26" s="17"/>
      <c r="B26" s="23" t="s">
        <v>372</v>
      </c>
      <c r="C26" s="23" t="s">
        <v>373</v>
      </c>
      <c r="D26" s="23" t="s">
        <v>374</v>
      </c>
      <c r="E26" s="24" t="s">
        <v>375</v>
      </c>
      <c r="F26" s="23" t="s">
        <v>44</v>
      </c>
      <c r="G26" s="23" t="s">
        <v>203</v>
      </c>
      <c r="H26" s="25" t="s">
        <v>376</v>
      </c>
      <c r="I26" s="34">
        <v>65</v>
      </c>
      <c r="J26" s="21"/>
      <c r="K26" s="23" t="s">
        <v>378</v>
      </c>
      <c r="L26" s="23" t="s">
        <v>379</v>
      </c>
      <c r="M26" s="22"/>
    </row>
    <row r="27" ht="34" spans="1:13">
      <c r="A27" s="17"/>
      <c r="B27" s="18" t="s">
        <v>380</v>
      </c>
      <c r="C27" s="18" t="s">
        <v>381</v>
      </c>
      <c r="D27" s="18" t="s">
        <v>382</v>
      </c>
      <c r="E27" s="19" t="s">
        <v>383</v>
      </c>
      <c r="F27" s="18" t="s">
        <v>384</v>
      </c>
      <c r="G27" s="18" t="s">
        <v>385</v>
      </c>
      <c r="H27" s="20" t="s">
        <v>386</v>
      </c>
      <c r="I27" s="33">
        <v>30</v>
      </c>
      <c r="J27" s="21"/>
      <c r="K27" s="18" t="s">
        <v>213</v>
      </c>
      <c r="L27" s="18" t="s">
        <v>388</v>
      </c>
      <c r="M27" s="22"/>
    </row>
    <row r="28" ht="17" spans="1:13">
      <c r="A28" s="17"/>
      <c r="B28" s="23" t="s">
        <v>389</v>
      </c>
      <c r="C28" s="23" t="s">
        <v>390</v>
      </c>
      <c r="D28" s="23" t="s">
        <v>391</v>
      </c>
      <c r="E28" s="24" t="s">
        <v>392</v>
      </c>
      <c r="F28" s="23" t="s">
        <v>393</v>
      </c>
      <c r="G28" s="23" t="s">
        <v>211</v>
      </c>
      <c r="H28" s="25" t="s">
        <v>394</v>
      </c>
      <c r="I28" s="34">
        <v>85</v>
      </c>
      <c r="J28" s="21"/>
      <c r="K28" s="23" t="s">
        <v>378</v>
      </c>
      <c r="L28" s="23" t="s">
        <v>395</v>
      </c>
      <c r="M28" s="22"/>
    </row>
    <row r="29" ht="17" spans="1:13">
      <c r="A29" s="17" t="s">
        <v>485</v>
      </c>
      <c r="B29" s="18" t="s">
        <v>240</v>
      </c>
      <c r="C29" s="18" t="s">
        <v>486</v>
      </c>
      <c r="D29" s="18" t="s">
        <v>487</v>
      </c>
      <c r="E29" s="19" t="s">
        <v>488</v>
      </c>
      <c r="F29" s="18" t="s">
        <v>21</v>
      </c>
      <c r="G29" s="18" t="s">
        <v>489</v>
      </c>
      <c r="H29" s="20" t="s">
        <v>245</v>
      </c>
      <c r="I29" s="18">
        <v>60</v>
      </c>
      <c r="J29" s="21">
        <f>AVERAGE(I29:I32)</f>
        <v>55</v>
      </c>
      <c r="K29" s="18" t="s">
        <v>253</v>
      </c>
      <c r="L29" s="18" t="s">
        <v>491</v>
      </c>
      <c r="M29" s="22" t="s">
        <v>490</v>
      </c>
    </row>
    <row r="30" ht="17" spans="1:13">
      <c r="A30" s="17"/>
      <c r="B30" s="23" t="s">
        <v>492</v>
      </c>
      <c r="C30" s="23" t="s">
        <v>493</v>
      </c>
      <c r="D30" s="23" t="s">
        <v>494</v>
      </c>
      <c r="E30" s="24" t="s">
        <v>495</v>
      </c>
      <c r="F30" s="23" t="s">
        <v>18</v>
      </c>
      <c r="G30" s="23" t="s">
        <v>496</v>
      </c>
      <c r="H30" s="25" t="s">
        <v>497</v>
      </c>
      <c r="I30" s="23">
        <v>55</v>
      </c>
      <c r="J30" s="21"/>
      <c r="K30" s="23" t="s">
        <v>351</v>
      </c>
      <c r="L30" s="23" t="s">
        <v>499</v>
      </c>
      <c r="M30" s="22"/>
    </row>
    <row r="31" ht="17" spans="1:13">
      <c r="A31" s="17"/>
      <c r="B31" s="18" t="s">
        <v>500</v>
      </c>
      <c r="C31" s="18" t="s">
        <v>501</v>
      </c>
      <c r="D31" s="18" t="s">
        <v>502</v>
      </c>
      <c r="E31" s="19" t="s">
        <v>503</v>
      </c>
      <c r="F31" s="18" t="s">
        <v>44</v>
      </c>
      <c r="G31" s="18" t="s">
        <v>489</v>
      </c>
      <c r="H31" s="20" t="s">
        <v>504</v>
      </c>
      <c r="I31" s="18">
        <v>40</v>
      </c>
      <c r="J31" s="21"/>
      <c r="K31" s="18" t="s">
        <v>253</v>
      </c>
      <c r="L31" s="18" t="s">
        <v>505</v>
      </c>
      <c r="M31" s="22"/>
    </row>
    <row r="32" ht="17" spans="1:13">
      <c r="A32" s="17"/>
      <c r="B32" s="23" t="s">
        <v>506</v>
      </c>
      <c r="C32" s="23" t="s">
        <v>507</v>
      </c>
      <c r="D32" s="23" t="s">
        <v>508</v>
      </c>
      <c r="E32" s="24" t="s">
        <v>509</v>
      </c>
      <c r="F32" s="23" t="s">
        <v>18</v>
      </c>
      <c r="G32" s="23" t="s">
        <v>496</v>
      </c>
      <c r="H32" s="25" t="s">
        <v>510</v>
      </c>
      <c r="I32" s="23">
        <v>65</v>
      </c>
      <c r="J32" s="21"/>
      <c r="K32" s="23" t="s">
        <v>351</v>
      </c>
      <c r="L32" s="23" t="s">
        <v>511</v>
      </c>
      <c r="M32" s="22"/>
    </row>
    <row r="33" ht="17" spans="1:13">
      <c r="A33" s="17" t="s">
        <v>189</v>
      </c>
      <c r="B33" s="18" t="s">
        <v>190</v>
      </c>
      <c r="C33" s="18" t="s">
        <v>191</v>
      </c>
      <c r="D33" s="18" t="s">
        <v>192</v>
      </c>
      <c r="E33" s="19" t="s">
        <v>193</v>
      </c>
      <c r="F33" s="18" t="s">
        <v>21</v>
      </c>
      <c r="G33" s="18" t="s">
        <v>194</v>
      </c>
      <c r="H33" s="20" t="s">
        <v>195</v>
      </c>
      <c r="I33" s="18">
        <v>80</v>
      </c>
      <c r="J33" s="21">
        <f>AVERAGE(I33:I35)</f>
        <v>80.6666666666667</v>
      </c>
      <c r="K33" s="18" t="s">
        <v>196</v>
      </c>
      <c r="L33" s="18" t="s">
        <v>198</v>
      </c>
      <c r="M33" s="22" t="s">
        <v>197</v>
      </c>
    </row>
    <row r="34" ht="17" spans="1:13">
      <c r="A34" s="17"/>
      <c r="B34" s="23" t="s">
        <v>199</v>
      </c>
      <c r="C34" s="23" t="s">
        <v>200</v>
      </c>
      <c r="D34" s="23" t="s">
        <v>201</v>
      </c>
      <c r="E34" s="24" t="s">
        <v>202</v>
      </c>
      <c r="F34" s="23" t="s">
        <v>30</v>
      </c>
      <c r="G34" s="23" t="s">
        <v>203</v>
      </c>
      <c r="H34" s="25" t="s">
        <v>204</v>
      </c>
      <c r="I34" s="23">
        <v>82</v>
      </c>
      <c r="J34" s="21"/>
      <c r="K34" s="23" t="s">
        <v>205</v>
      </c>
      <c r="L34" s="23" t="s">
        <v>206</v>
      </c>
      <c r="M34" s="22"/>
    </row>
    <row r="35" ht="17" spans="1:13">
      <c r="A35" s="17"/>
      <c r="B35" s="18" t="s">
        <v>207</v>
      </c>
      <c r="C35" s="18" t="s">
        <v>208</v>
      </c>
      <c r="D35" s="18" t="s">
        <v>209</v>
      </c>
      <c r="E35" s="19" t="s">
        <v>210</v>
      </c>
      <c r="F35" s="18" t="s">
        <v>30</v>
      </c>
      <c r="G35" s="18" t="s">
        <v>211</v>
      </c>
      <c r="H35" s="20" t="s">
        <v>212</v>
      </c>
      <c r="I35" s="18">
        <v>80</v>
      </c>
      <c r="J35" s="21"/>
      <c r="K35" s="18" t="s">
        <v>213</v>
      </c>
      <c r="L35" s="18" t="s">
        <v>214</v>
      </c>
      <c r="M35" s="22"/>
    </row>
    <row r="36" ht="34" spans="1:13">
      <c r="A36" s="29" t="s">
        <v>215</v>
      </c>
      <c r="B36" s="23" t="s">
        <v>216</v>
      </c>
      <c r="C36" s="23" t="s">
        <v>217</v>
      </c>
      <c r="D36" s="23" t="s">
        <v>218</v>
      </c>
      <c r="E36" s="24" t="s">
        <v>219</v>
      </c>
      <c r="F36" s="23" t="s">
        <v>30</v>
      </c>
      <c r="G36" s="23" t="s">
        <v>220</v>
      </c>
      <c r="H36" s="25" t="s">
        <v>221</v>
      </c>
      <c r="I36" s="23">
        <v>90</v>
      </c>
      <c r="J36" s="30">
        <f>AVERAGE(I36:I38)</f>
        <v>88.3333333333333</v>
      </c>
      <c r="K36" s="23" t="s">
        <v>222</v>
      </c>
      <c r="L36" s="23" t="s">
        <v>224</v>
      </c>
      <c r="M36" s="31" t="s">
        <v>223</v>
      </c>
    </row>
    <row r="37" ht="17" spans="1:13">
      <c r="A37" s="29"/>
      <c r="B37" s="18" t="s">
        <v>225</v>
      </c>
      <c r="C37" s="18" t="s">
        <v>226</v>
      </c>
      <c r="D37" s="18" t="s">
        <v>227</v>
      </c>
      <c r="E37" s="19" t="s">
        <v>228</v>
      </c>
      <c r="F37" s="18" t="s">
        <v>21</v>
      </c>
      <c r="G37" s="18" t="s">
        <v>229</v>
      </c>
      <c r="H37" s="20" t="s">
        <v>228</v>
      </c>
      <c r="I37" s="18">
        <v>85</v>
      </c>
      <c r="J37" s="30"/>
      <c r="K37" s="18" t="s">
        <v>230</v>
      </c>
      <c r="L37" s="18" t="s">
        <v>231</v>
      </c>
      <c r="M37" s="31"/>
    </row>
    <row r="38" ht="17" spans="1:13">
      <c r="A38" s="29"/>
      <c r="B38" s="23" t="s">
        <v>232</v>
      </c>
      <c r="C38" s="23" t="s">
        <v>233</v>
      </c>
      <c r="D38" s="23" t="s">
        <v>234</v>
      </c>
      <c r="E38" s="24" t="s">
        <v>235</v>
      </c>
      <c r="F38" s="23" t="s">
        <v>30</v>
      </c>
      <c r="G38" s="23" t="s">
        <v>236</v>
      </c>
      <c r="H38" s="25" t="s">
        <v>237</v>
      </c>
      <c r="I38" s="23">
        <v>90</v>
      </c>
      <c r="J38" s="30"/>
      <c r="K38" s="23" t="s">
        <v>230</v>
      </c>
      <c r="L38" s="23" t="s">
        <v>238</v>
      </c>
      <c r="M38" s="31"/>
    </row>
    <row r="39" ht="17" spans="1:13">
      <c r="A39" s="17" t="s">
        <v>533</v>
      </c>
      <c r="B39" s="18" t="s">
        <v>534</v>
      </c>
      <c r="C39" s="18" t="s">
        <v>535</v>
      </c>
      <c r="D39" s="18" t="s">
        <v>536</v>
      </c>
      <c r="E39" s="19" t="s">
        <v>537</v>
      </c>
      <c r="F39" s="18" t="s">
        <v>21</v>
      </c>
      <c r="G39" s="18" t="s">
        <v>538</v>
      </c>
      <c r="H39" s="20" t="s">
        <v>539</v>
      </c>
      <c r="I39" s="18">
        <v>72</v>
      </c>
      <c r="J39" s="21">
        <f>AVERAGE(I39:I45)</f>
        <v>74.5714285714286</v>
      </c>
      <c r="K39" s="18" t="s">
        <v>540</v>
      </c>
      <c r="L39" s="18" t="s">
        <v>542</v>
      </c>
      <c r="M39" s="22" t="s">
        <v>541</v>
      </c>
    </row>
    <row r="40" ht="17" spans="1:13">
      <c r="A40" s="17"/>
      <c r="B40" s="23" t="s">
        <v>543</v>
      </c>
      <c r="C40" s="23" t="s">
        <v>544</v>
      </c>
      <c r="D40" s="23" t="s">
        <v>545</v>
      </c>
      <c r="E40" s="24">
        <v>0.22</v>
      </c>
      <c r="F40" s="23" t="s">
        <v>30</v>
      </c>
      <c r="G40" s="23" t="s">
        <v>546</v>
      </c>
      <c r="H40" s="25">
        <v>0.16</v>
      </c>
      <c r="I40" s="23">
        <v>70</v>
      </c>
      <c r="J40" s="21"/>
      <c r="K40" s="23" t="s">
        <v>531</v>
      </c>
      <c r="L40" s="23" t="s">
        <v>547</v>
      </c>
      <c r="M40" s="22"/>
    </row>
    <row r="41" ht="17" spans="1:13">
      <c r="A41" s="17"/>
      <c r="B41" s="18" t="s">
        <v>506</v>
      </c>
      <c r="C41" s="18" t="s">
        <v>507</v>
      </c>
      <c r="D41" s="18" t="s">
        <v>548</v>
      </c>
      <c r="E41" s="19" t="s">
        <v>509</v>
      </c>
      <c r="F41" s="18" t="s">
        <v>18</v>
      </c>
      <c r="G41" s="18" t="s">
        <v>538</v>
      </c>
      <c r="H41" s="20" t="s">
        <v>549</v>
      </c>
      <c r="I41" s="18">
        <v>75</v>
      </c>
      <c r="J41" s="21"/>
      <c r="K41" s="18" t="s">
        <v>540</v>
      </c>
      <c r="L41" s="18" t="s">
        <v>550</v>
      </c>
      <c r="M41" s="22"/>
    </row>
    <row r="42" ht="17" spans="1:13">
      <c r="A42" s="17"/>
      <c r="B42" s="23" t="s">
        <v>551</v>
      </c>
      <c r="C42" s="23" t="s">
        <v>552</v>
      </c>
      <c r="D42" s="23" t="s">
        <v>553</v>
      </c>
      <c r="E42" s="24" t="s">
        <v>554</v>
      </c>
      <c r="F42" s="23" t="s">
        <v>30</v>
      </c>
      <c r="G42" s="23" t="s">
        <v>546</v>
      </c>
      <c r="H42" s="25" t="s">
        <v>555</v>
      </c>
      <c r="I42" s="23">
        <v>70</v>
      </c>
      <c r="J42" s="21"/>
      <c r="K42" s="23" t="s">
        <v>531</v>
      </c>
      <c r="L42" s="23" t="s">
        <v>556</v>
      </c>
      <c r="M42" s="22"/>
    </row>
    <row r="43" ht="17" spans="1:13">
      <c r="A43" s="17"/>
      <c r="B43" s="23" t="s">
        <v>295</v>
      </c>
      <c r="C43" s="23" t="s">
        <v>296</v>
      </c>
      <c r="D43" s="23" t="s">
        <v>297</v>
      </c>
      <c r="E43" s="24" t="s">
        <v>298</v>
      </c>
      <c r="F43" s="23" t="s">
        <v>21</v>
      </c>
      <c r="G43" s="23" t="s">
        <v>299</v>
      </c>
      <c r="H43" s="25" t="s">
        <v>300</v>
      </c>
      <c r="I43" s="23">
        <v>75</v>
      </c>
      <c r="J43" s="21"/>
      <c r="K43" s="23" t="s">
        <v>301</v>
      </c>
      <c r="L43" s="23" t="s">
        <v>302</v>
      </c>
      <c r="M43" s="22"/>
    </row>
    <row r="44" ht="17" spans="1:13">
      <c r="A44" s="17"/>
      <c r="B44" s="18" t="s">
        <v>303</v>
      </c>
      <c r="C44" s="18" t="s">
        <v>304</v>
      </c>
      <c r="D44" s="18" t="s">
        <v>305</v>
      </c>
      <c r="E44" s="35">
        <v>0.999995</v>
      </c>
      <c r="F44" s="18" t="s">
        <v>30</v>
      </c>
      <c r="G44" s="18" t="s">
        <v>306</v>
      </c>
      <c r="H44" s="36">
        <v>0.99999</v>
      </c>
      <c r="I44" s="18">
        <v>85</v>
      </c>
      <c r="J44" s="21"/>
      <c r="K44" s="18" t="s">
        <v>307</v>
      </c>
      <c r="L44" s="18" t="s">
        <v>308</v>
      </c>
      <c r="M44" s="22"/>
    </row>
    <row r="45" ht="17" spans="1:13">
      <c r="A45" s="17"/>
      <c r="B45" s="18" t="s">
        <v>295</v>
      </c>
      <c r="C45" s="18" t="s">
        <v>296</v>
      </c>
      <c r="D45" s="18" t="s">
        <v>297</v>
      </c>
      <c r="E45" s="19" t="s">
        <v>298</v>
      </c>
      <c r="F45" s="18" t="s">
        <v>21</v>
      </c>
      <c r="G45" s="18" t="s">
        <v>299</v>
      </c>
      <c r="H45" s="20" t="s">
        <v>300</v>
      </c>
      <c r="I45" s="18">
        <v>75</v>
      </c>
      <c r="J45" s="21"/>
      <c r="K45" s="18" t="s">
        <v>301</v>
      </c>
      <c r="L45" s="18" t="s">
        <v>302</v>
      </c>
      <c r="M45" s="22"/>
    </row>
    <row r="46" ht="17" spans="1:13">
      <c r="A46" s="29" t="s">
        <v>79</v>
      </c>
      <c r="B46" s="23" t="s">
        <v>80</v>
      </c>
      <c r="C46" s="23" t="s">
        <v>81</v>
      </c>
      <c r="D46" s="23" t="s">
        <v>82</v>
      </c>
      <c r="E46" s="24" t="s">
        <v>83</v>
      </c>
      <c r="F46" s="23" t="s">
        <v>18</v>
      </c>
      <c r="G46" s="23" t="s">
        <v>84</v>
      </c>
      <c r="H46" s="25" t="s">
        <v>85</v>
      </c>
      <c r="I46" s="23">
        <v>85</v>
      </c>
      <c r="J46" s="30">
        <f>AVERAGE(I46:I49)</f>
        <v>80</v>
      </c>
      <c r="K46" s="23" t="s">
        <v>86</v>
      </c>
      <c r="L46" s="23" t="s">
        <v>88</v>
      </c>
      <c r="M46" s="31" t="s">
        <v>87</v>
      </c>
    </row>
    <row r="47" ht="17" spans="1:13">
      <c r="A47" s="29"/>
      <c r="B47" s="18" t="s">
        <v>89</v>
      </c>
      <c r="C47" s="18" t="s">
        <v>90</v>
      </c>
      <c r="D47" s="18" t="s">
        <v>91</v>
      </c>
      <c r="E47" s="19" t="s">
        <v>92</v>
      </c>
      <c r="F47" s="18" t="s">
        <v>21</v>
      </c>
      <c r="G47" s="18" t="s">
        <v>93</v>
      </c>
      <c r="H47" s="20" t="s">
        <v>94</v>
      </c>
      <c r="I47" s="18">
        <v>70</v>
      </c>
      <c r="J47" s="30"/>
      <c r="K47" s="18" t="s">
        <v>96</v>
      </c>
      <c r="L47" s="18" t="s">
        <v>97</v>
      </c>
      <c r="M47" s="31"/>
    </row>
    <row r="48" ht="17" spans="1:13">
      <c r="A48" s="29"/>
      <c r="B48" s="23" t="s">
        <v>98</v>
      </c>
      <c r="C48" s="23" t="s">
        <v>99</v>
      </c>
      <c r="D48" s="23" t="s">
        <v>100</v>
      </c>
      <c r="E48" s="24" t="s">
        <v>101</v>
      </c>
      <c r="F48" s="23" t="s">
        <v>30</v>
      </c>
      <c r="G48" s="23" t="s">
        <v>102</v>
      </c>
      <c r="H48" s="25" t="s">
        <v>103</v>
      </c>
      <c r="I48" s="23">
        <v>80</v>
      </c>
      <c r="J48" s="30"/>
      <c r="K48" s="23" t="s">
        <v>86</v>
      </c>
      <c r="L48" s="23" t="s">
        <v>105</v>
      </c>
      <c r="M48" s="31"/>
    </row>
    <row r="49" ht="17" spans="1:13">
      <c r="A49" s="29"/>
      <c r="B49" s="18" t="s">
        <v>106</v>
      </c>
      <c r="C49" s="18" t="s">
        <v>107</v>
      </c>
      <c r="D49" s="18" t="s">
        <v>108</v>
      </c>
      <c r="E49" s="19" t="s">
        <v>109</v>
      </c>
      <c r="F49" s="18" t="s">
        <v>18</v>
      </c>
      <c r="G49" s="18" t="s">
        <v>110</v>
      </c>
      <c r="H49" s="20" t="s">
        <v>111</v>
      </c>
      <c r="I49" s="18">
        <v>85</v>
      </c>
      <c r="J49" s="30"/>
      <c r="K49" s="18" t="s">
        <v>112</v>
      </c>
      <c r="L49" s="18" t="s">
        <v>113</v>
      </c>
      <c r="M49" s="31"/>
    </row>
    <row r="50" ht="17" spans="1:13">
      <c r="A50" s="17" t="s">
        <v>512</v>
      </c>
      <c r="B50" s="18" t="s">
        <v>513</v>
      </c>
      <c r="C50" s="18" t="s">
        <v>107</v>
      </c>
      <c r="D50" s="18" t="s">
        <v>514</v>
      </c>
      <c r="E50" s="19" t="s">
        <v>515</v>
      </c>
      <c r="F50" s="18" t="s">
        <v>18</v>
      </c>
      <c r="G50" s="18" t="s">
        <v>516</v>
      </c>
      <c r="H50" s="20" t="s">
        <v>515</v>
      </c>
      <c r="I50" s="18">
        <v>90</v>
      </c>
      <c r="J50" s="21">
        <f>AVERAGE(I50:I53)</f>
        <v>86.75</v>
      </c>
      <c r="K50" s="18" t="s">
        <v>448</v>
      </c>
      <c r="L50" s="18" t="s">
        <v>518</v>
      </c>
      <c r="M50" s="22" t="s">
        <v>517</v>
      </c>
    </row>
    <row r="51" ht="17" spans="1:13">
      <c r="A51" s="17"/>
      <c r="B51" s="23" t="s">
        <v>519</v>
      </c>
      <c r="C51" s="23" t="s">
        <v>166</v>
      </c>
      <c r="D51" s="23" t="s">
        <v>520</v>
      </c>
      <c r="E51" s="24" t="s">
        <v>168</v>
      </c>
      <c r="F51" s="23" t="s">
        <v>18</v>
      </c>
      <c r="G51" s="23" t="s">
        <v>186</v>
      </c>
      <c r="H51" s="25" t="s">
        <v>170</v>
      </c>
      <c r="I51" s="23">
        <v>92</v>
      </c>
      <c r="J51" s="21"/>
      <c r="K51" s="23" t="s">
        <v>521</v>
      </c>
      <c r="L51" s="23" t="s">
        <v>522</v>
      </c>
      <c r="M51" s="22"/>
    </row>
    <row r="52" ht="17" spans="1:13">
      <c r="A52" s="17"/>
      <c r="B52" s="18" t="s">
        <v>523</v>
      </c>
      <c r="C52" s="18" t="s">
        <v>524</v>
      </c>
      <c r="D52" s="18" t="s">
        <v>525</v>
      </c>
      <c r="E52" s="19" t="s">
        <v>526</v>
      </c>
      <c r="F52" s="18" t="s">
        <v>21</v>
      </c>
      <c r="G52" s="18" t="s">
        <v>527</v>
      </c>
      <c r="H52" s="20" t="s">
        <v>524</v>
      </c>
      <c r="I52" s="18">
        <v>80</v>
      </c>
      <c r="J52" s="21"/>
      <c r="K52" s="18" t="s">
        <v>521</v>
      </c>
      <c r="L52" s="18" t="s">
        <v>528</v>
      </c>
      <c r="M52" s="22"/>
    </row>
    <row r="53" ht="17" spans="1:13">
      <c r="A53" s="17"/>
      <c r="B53" s="23" t="s">
        <v>182</v>
      </c>
      <c r="C53" s="23" t="s">
        <v>183</v>
      </c>
      <c r="D53" s="23" t="s">
        <v>529</v>
      </c>
      <c r="E53" s="24" t="s">
        <v>530</v>
      </c>
      <c r="F53" s="23" t="s">
        <v>30</v>
      </c>
      <c r="G53" s="23" t="s">
        <v>178</v>
      </c>
      <c r="H53" s="25" t="s">
        <v>187</v>
      </c>
      <c r="I53" s="23">
        <v>85</v>
      </c>
      <c r="J53" s="21"/>
      <c r="K53" s="23" t="s">
        <v>531</v>
      </c>
      <c r="L53" s="23" t="s">
        <v>532</v>
      </c>
      <c r="M53" s="22"/>
    </row>
    <row r="54" ht="17" spans="1:13">
      <c r="A54" s="17" t="s">
        <v>396</v>
      </c>
      <c r="B54" s="18" t="s">
        <v>397</v>
      </c>
      <c r="C54" s="18" t="s">
        <v>398</v>
      </c>
      <c r="D54" s="18" t="s">
        <v>399</v>
      </c>
      <c r="E54" s="19" t="s">
        <v>400</v>
      </c>
      <c r="F54" s="18" t="s">
        <v>21</v>
      </c>
      <c r="G54" s="18" t="s">
        <v>401</v>
      </c>
      <c r="H54" s="20" t="s">
        <v>402</v>
      </c>
      <c r="I54" s="18">
        <v>80</v>
      </c>
      <c r="J54" s="21">
        <f>AVERAGE(I54:I58)</f>
        <v>74.4</v>
      </c>
      <c r="K54" s="18" t="s">
        <v>403</v>
      </c>
      <c r="L54" s="18" t="s">
        <v>405</v>
      </c>
      <c r="M54" s="22" t="s">
        <v>404</v>
      </c>
    </row>
    <row r="55" ht="17" spans="1:13">
      <c r="A55" s="17"/>
      <c r="B55" s="23" t="s">
        <v>406</v>
      </c>
      <c r="C55" s="23" t="s">
        <v>407</v>
      </c>
      <c r="D55" s="23" t="s">
        <v>408</v>
      </c>
      <c r="E55" s="24" t="s">
        <v>409</v>
      </c>
      <c r="F55" s="23" t="s">
        <v>18</v>
      </c>
      <c r="G55" s="23" t="s">
        <v>410</v>
      </c>
      <c r="H55" s="25" t="s">
        <v>411</v>
      </c>
      <c r="I55" s="23">
        <v>75</v>
      </c>
      <c r="J55" s="21"/>
      <c r="K55" s="23" t="s">
        <v>412</v>
      </c>
      <c r="L55" s="23" t="s">
        <v>413</v>
      </c>
      <c r="M55" s="22"/>
    </row>
    <row r="56" ht="17" spans="1:13">
      <c r="A56" s="17"/>
      <c r="B56" s="18" t="s">
        <v>414</v>
      </c>
      <c r="C56" s="18" t="s">
        <v>415</v>
      </c>
      <c r="D56" s="18" t="s">
        <v>416</v>
      </c>
      <c r="E56" s="19" t="s">
        <v>417</v>
      </c>
      <c r="F56" s="18" t="s">
        <v>44</v>
      </c>
      <c r="G56" s="18" t="s">
        <v>418</v>
      </c>
      <c r="H56" s="20" t="s">
        <v>419</v>
      </c>
      <c r="I56" s="18">
        <v>70</v>
      </c>
      <c r="J56" s="21"/>
      <c r="K56" s="18" t="s">
        <v>69</v>
      </c>
      <c r="L56" s="18" t="s">
        <v>420</v>
      </c>
      <c r="M56" s="22"/>
    </row>
    <row r="57" ht="17" spans="1:13">
      <c r="A57" s="17"/>
      <c r="B57" s="23" t="s">
        <v>270</v>
      </c>
      <c r="C57" s="23" t="s">
        <v>421</v>
      </c>
      <c r="D57" s="23" t="s">
        <v>422</v>
      </c>
      <c r="E57" s="26">
        <v>0.02</v>
      </c>
      <c r="F57" s="23" t="s">
        <v>95</v>
      </c>
      <c r="G57" s="23" t="s">
        <v>423</v>
      </c>
      <c r="H57" s="32">
        <v>0.03</v>
      </c>
      <c r="I57" s="23">
        <v>65</v>
      </c>
      <c r="J57" s="21"/>
      <c r="K57" s="23" t="s">
        <v>424</v>
      </c>
      <c r="L57" s="23" t="s">
        <v>425</v>
      </c>
      <c r="M57" s="22"/>
    </row>
    <row r="58" ht="17" spans="1:13">
      <c r="A58" s="17"/>
      <c r="B58" s="23" t="s">
        <v>262</v>
      </c>
      <c r="C58" s="23" t="s">
        <v>263</v>
      </c>
      <c r="D58" s="23" t="s">
        <v>264</v>
      </c>
      <c r="E58" s="24" t="s">
        <v>265</v>
      </c>
      <c r="F58" s="23" t="s">
        <v>30</v>
      </c>
      <c r="G58" s="23" t="s">
        <v>266</v>
      </c>
      <c r="H58" s="25" t="s">
        <v>267</v>
      </c>
      <c r="I58" s="23">
        <v>82</v>
      </c>
      <c r="J58" s="21"/>
      <c r="K58" s="23" t="s">
        <v>268</v>
      </c>
      <c r="L58" s="23" t="s">
        <v>269</v>
      </c>
      <c r="M58" s="22"/>
    </row>
    <row r="59" ht="17" spans="1:13">
      <c r="A59" s="29" t="s">
        <v>276</v>
      </c>
      <c r="B59" s="23" t="s">
        <v>277</v>
      </c>
      <c r="C59" s="23" t="s">
        <v>278</v>
      </c>
      <c r="D59" s="23" t="s">
        <v>279</v>
      </c>
      <c r="E59" s="24" t="s">
        <v>280</v>
      </c>
      <c r="F59" s="23" t="s">
        <v>30</v>
      </c>
      <c r="G59" s="23" t="s">
        <v>281</v>
      </c>
      <c r="H59" s="25" t="s">
        <v>282</v>
      </c>
      <c r="I59" s="23">
        <v>85</v>
      </c>
      <c r="J59" s="30">
        <f>AVERAGE(I59:I60)</f>
        <v>82.5</v>
      </c>
      <c r="K59" s="23" t="s">
        <v>283</v>
      </c>
      <c r="L59" s="23" t="s">
        <v>285</v>
      </c>
      <c r="M59" s="31" t="s">
        <v>284</v>
      </c>
    </row>
    <row r="60" ht="17" spans="1:13">
      <c r="A60" s="29"/>
      <c r="B60" s="18" t="s">
        <v>286</v>
      </c>
      <c r="C60" s="18" t="s">
        <v>287</v>
      </c>
      <c r="D60" s="18" t="s">
        <v>288</v>
      </c>
      <c r="E60" s="19" t="s">
        <v>289</v>
      </c>
      <c r="F60" s="18" t="s">
        <v>30</v>
      </c>
      <c r="G60" s="18" t="s">
        <v>290</v>
      </c>
      <c r="H60" s="20" t="s">
        <v>291</v>
      </c>
      <c r="I60" s="18">
        <v>80</v>
      </c>
      <c r="J60" s="30"/>
      <c r="K60" s="18" t="s">
        <v>292</v>
      </c>
      <c r="L60" s="18" t="s">
        <v>293</v>
      </c>
      <c r="M60" s="31"/>
    </row>
    <row r="61" ht="17" spans="1:13">
      <c r="A61" s="29" t="s">
        <v>164</v>
      </c>
      <c r="B61" s="23" t="s">
        <v>165</v>
      </c>
      <c r="C61" s="23" t="s">
        <v>166</v>
      </c>
      <c r="D61" s="23" t="s">
        <v>167</v>
      </c>
      <c r="E61" s="24" t="s">
        <v>168</v>
      </c>
      <c r="F61" s="23" t="s">
        <v>18</v>
      </c>
      <c r="G61" s="23" t="s">
        <v>169</v>
      </c>
      <c r="H61" s="25" t="s">
        <v>170</v>
      </c>
      <c r="I61" s="23">
        <v>92</v>
      </c>
      <c r="J61" s="30">
        <f>AVERAGE(I61:I63)</f>
        <v>85.6666666666667</v>
      </c>
      <c r="K61" s="23" t="s">
        <v>171</v>
      </c>
      <c r="L61" s="23" t="s">
        <v>173</v>
      </c>
      <c r="M61" s="31" t="s">
        <v>172</v>
      </c>
    </row>
    <row r="62" ht="17" spans="1:13">
      <c r="A62" s="29"/>
      <c r="B62" s="18" t="s">
        <v>174</v>
      </c>
      <c r="C62" s="18" t="s">
        <v>175</v>
      </c>
      <c r="D62" s="18" t="s">
        <v>176</v>
      </c>
      <c r="E62" s="19" t="s">
        <v>177</v>
      </c>
      <c r="F62" s="18" t="s">
        <v>30</v>
      </c>
      <c r="G62" s="18" t="s">
        <v>178</v>
      </c>
      <c r="H62" s="20" t="s">
        <v>179</v>
      </c>
      <c r="I62" s="18">
        <v>80</v>
      </c>
      <c r="J62" s="30"/>
      <c r="K62" s="18" t="s">
        <v>180</v>
      </c>
      <c r="L62" s="18" t="s">
        <v>181</v>
      </c>
      <c r="M62" s="31"/>
    </row>
    <row r="63" ht="17" spans="1:13">
      <c r="A63" s="29"/>
      <c r="B63" s="23" t="s">
        <v>182</v>
      </c>
      <c r="C63" s="23" t="s">
        <v>183</v>
      </c>
      <c r="D63" s="23" t="s">
        <v>184</v>
      </c>
      <c r="E63" s="24" t="s">
        <v>185</v>
      </c>
      <c r="F63" s="23" t="s">
        <v>30</v>
      </c>
      <c r="G63" s="23" t="s">
        <v>186</v>
      </c>
      <c r="H63" s="25" t="s">
        <v>187</v>
      </c>
      <c r="I63" s="23">
        <v>85</v>
      </c>
      <c r="J63" s="30"/>
      <c r="K63" s="23" t="s">
        <v>180</v>
      </c>
      <c r="L63" s="23" t="s">
        <v>188</v>
      </c>
      <c r="M63" s="31"/>
    </row>
    <row r="64" ht="17" spans="1:13">
      <c r="A64" s="17" t="s">
        <v>426</v>
      </c>
      <c r="B64" s="23" t="s">
        <v>310</v>
      </c>
      <c r="C64" s="23" t="s">
        <v>311</v>
      </c>
      <c r="D64" s="23" t="s">
        <v>312</v>
      </c>
      <c r="E64" s="37">
        <v>0.008</v>
      </c>
      <c r="F64" s="23" t="s">
        <v>30</v>
      </c>
      <c r="G64" s="23" t="s">
        <v>313</v>
      </c>
      <c r="H64" s="38">
        <v>0.009</v>
      </c>
      <c r="I64" s="23">
        <v>85</v>
      </c>
      <c r="J64" s="21">
        <f>AVERAGE(I64:I70)</f>
        <v>80.1428571428571</v>
      </c>
      <c r="K64" s="23" t="s">
        <v>314</v>
      </c>
      <c r="L64" s="23" t="s">
        <v>315</v>
      </c>
      <c r="M64" s="22" t="s">
        <v>434</v>
      </c>
    </row>
    <row r="65" ht="17" spans="1:13">
      <c r="A65" s="17"/>
      <c r="B65" s="18" t="s">
        <v>316</v>
      </c>
      <c r="C65" s="18" t="s">
        <v>250</v>
      </c>
      <c r="D65" s="18" t="s">
        <v>317</v>
      </c>
      <c r="E65" s="39">
        <v>0.92</v>
      </c>
      <c r="F65" s="18" t="s">
        <v>30</v>
      </c>
      <c r="G65" s="18" t="s">
        <v>318</v>
      </c>
      <c r="H65" s="40">
        <v>0.91</v>
      </c>
      <c r="I65" s="18">
        <v>85</v>
      </c>
      <c r="J65" s="21"/>
      <c r="K65" s="18" t="s">
        <v>319</v>
      </c>
      <c r="L65" s="18" t="s">
        <v>320</v>
      </c>
      <c r="M65" s="22"/>
    </row>
    <row r="66" ht="17" spans="1:13">
      <c r="A66" s="17"/>
      <c r="B66" s="23" t="s">
        <v>310</v>
      </c>
      <c r="C66" s="23" t="s">
        <v>311</v>
      </c>
      <c r="D66" s="23" t="s">
        <v>312</v>
      </c>
      <c r="E66" s="37">
        <v>0.008</v>
      </c>
      <c r="F66" s="23" t="s">
        <v>30</v>
      </c>
      <c r="G66" s="23" t="s">
        <v>313</v>
      </c>
      <c r="H66" s="38">
        <v>0.009</v>
      </c>
      <c r="I66" s="23">
        <v>85</v>
      </c>
      <c r="J66" s="21"/>
      <c r="K66" s="23" t="s">
        <v>314</v>
      </c>
      <c r="L66" s="23" t="s">
        <v>315</v>
      </c>
      <c r="M66" s="22"/>
    </row>
    <row r="67" ht="17" spans="1:13">
      <c r="A67" s="17"/>
      <c r="B67" s="18" t="s">
        <v>427</v>
      </c>
      <c r="C67" s="18" t="s">
        <v>428</v>
      </c>
      <c r="D67" s="18" t="s">
        <v>429</v>
      </c>
      <c r="E67" s="19" t="s">
        <v>430</v>
      </c>
      <c r="F67" s="18" t="s">
        <v>104</v>
      </c>
      <c r="G67" s="18" t="s">
        <v>431</v>
      </c>
      <c r="H67" s="20" t="s">
        <v>432</v>
      </c>
      <c r="I67" s="18">
        <v>75</v>
      </c>
      <c r="J67" s="21"/>
      <c r="K67" s="18" t="s">
        <v>433</v>
      </c>
      <c r="L67" s="18" t="s">
        <v>435</v>
      </c>
      <c r="M67" s="22"/>
    </row>
    <row r="68" ht="17" spans="1:13">
      <c r="A68" s="17"/>
      <c r="B68" s="23" t="s">
        <v>436</v>
      </c>
      <c r="C68" s="23" t="s">
        <v>437</v>
      </c>
      <c r="D68" s="23" t="s">
        <v>438</v>
      </c>
      <c r="E68" s="26">
        <v>0.98</v>
      </c>
      <c r="F68" s="23" t="s">
        <v>21</v>
      </c>
      <c r="G68" s="23" t="s">
        <v>439</v>
      </c>
      <c r="H68" s="32">
        <v>0.92</v>
      </c>
      <c r="I68" s="23">
        <v>78</v>
      </c>
      <c r="J68" s="21"/>
      <c r="K68" s="23" t="s">
        <v>440</v>
      </c>
      <c r="L68" s="23" t="s">
        <v>441</v>
      </c>
      <c r="M68" s="22"/>
    </row>
    <row r="69" ht="17" spans="1:13">
      <c r="A69" s="17"/>
      <c r="B69" s="18" t="s">
        <v>442</v>
      </c>
      <c r="C69" s="18" t="s">
        <v>443</v>
      </c>
      <c r="D69" s="18" t="s">
        <v>444</v>
      </c>
      <c r="E69" s="19" t="s">
        <v>445</v>
      </c>
      <c r="F69" s="18" t="s">
        <v>18</v>
      </c>
      <c r="G69" s="18" t="s">
        <v>446</v>
      </c>
      <c r="H69" s="20" t="s">
        <v>447</v>
      </c>
      <c r="I69" s="18">
        <v>65</v>
      </c>
      <c r="J69" s="21"/>
      <c r="K69" s="18" t="s">
        <v>448</v>
      </c>
      <c r="L69" s="18" t="s">
        <v>449</v>
      </c>
      <c r="M69" s="22"/>
    </row>
    <row r="70" ht="17" spans="1:13">
      <c r="A70" s="17"/>
      <c r="B70" s="23" t="s">
        <v>450</v>
      </c>
      <c r="C70" s="23" t="s">
        <v>451</v>
      </c>
      <c r="D70" s="23" t="s">
        <v>452</v>
      </c>
      <c r="E70" s="24" t="s">
        <v>453</v>
      </c>
      <c r="F70" s="23" t="s">
        <v>18</v>
      </c>
      <c r="G70" s="23" t="s">
        <v>431</v>
      </c>
      <c r="H70" s="25" t="s">
        <v>454</v>
      </c>
      <c r="I70" s="23">
        <v>88</v>
      </c>
      <c r="J70" s="21"/>
      <c r="K70" s="23" t="s">
        <v>455</v>
      </c>
      <c r="L70" s="23" t="s">
        <v>456</v>
      </c>
      <c r="M70" s="22"/>
    </row>
    <row r="71" ht="17" spans="1:13">
      <c r="A71" s="17" t="s">
        <v>557</v>
      </c>
      <c r="B71" s="18" t="s">
        <v>558</v>
      </c>
      <c r="C71" s="18" t="s">
        <v>559</v>
      </c>
      <c r="D71" s="18" t="s">
        <v>560</v>
      </c>
      <c r="E71" s="35">
        <v>0.99998</v>
      </c>
      <c r="F71" s="18" t="s">
        <v>18</v>
      </c>
      <c r="G71" s="18" t="s">
        <v>561</v>
      </c>
      <c r="H71" s="36">
        <v>0.99995</v>
      </c>
      <c r="I71" s="18">
        <v>88</v>
      </c>
      <c r="J71" s="21">
        <f>AVERAGE(I71:I74)</f>
        <v>79.5</v>
      </c>
      <c r="K71" s="18" t="s">
        <v>562</v>
      </c>
      <c r="L71" s="18" t="s">
        <v>564</v>
      </c>
      <c r="M71" s="22" t="s">
        <v>563</v>
      </c>
    </row>
    <row r="72" ht="17" spans="1:13">
      <c r="A72" s="17"/>
      <c r="B72" s="23" t="s">
        <v>565</v>
      </c>
      <c r="C72" s="23" t="s">
        <v>566</v>
      </c>
      <c r="D72" s="23" t="s">
        <v>567</v>
      </c>
      <c r="E72" s="24" t="s">
        <v>568</v>
      </c>
      <c r="F72" s="23" t="s">
        <v>21</v>
      </c>
      <c r="G72" s="23" t="s">
        <v>569</v>
      </c>
      <c r="H72" s="25" t="s">
        <v>570</v>
      </c>
      <c r="I72" s="23">
        <v>70</v>
      </c>
      <c r="J72" s="21"/>
      <c r="K72" s="23" t="s">
        <v>562</v>
      </c>
      <c r="L72" s="23" t="s">
        <v>571</v>
      </c>
      <c r="M72" s="22"/>
    </row>
    <row r="73" ht="17" spans="1:13">
      <c r="A73" s="17"/>
      <c r="B73" s="18" t="s">
        <v>572</v>
      </c>
      <c r="C73" s="18" t="s">
        <v>573</v>
      </c>
      <c r="D73" s="18" t="s">
        <v>574</v>
      </c>
      <c r="E73" s="39">
        <v>0.99</v>
      </c>
      <c r="F73" s="18" t="s">
        <v>30</v>
      </c>
      <c r="G73" s="18" t="s">
        <v>561</v>
      </c>
      <c r="H73" s="40">
        <v>0.98</v>
      </c>
      <c r="I73" s="18">
        <v>85</v>
      </c>
      <c r="J73" s="21"/>
      <c r="K73" s="18" t="s">
        <v>562</v>
      </c>
      <c r="L73" s="18" t="s">
        <v>575</v>
      </c>
      <c r="M73" s="22"/>
    </row>
    <row r="74" ht="17" spans="1:13">
      <c r="A74" s="17"/>
      <c r="B74" s="23" t="s">
        <v>576</v>
      </c>
      <c r="C74" s="23" t="s">
        <v>577</v>
      </c>
      <c r="D74" s="23" t="s">
        <v>578</v>
      </c>
      <c r="E74" s="24" t="s">
        <v>579</v>
      </c>
      <c r="F74" s="23" t="s">
        <v>30</v>
      </c>
      <c r="G74" s="23" t="s">
        <v>569</v>
      </c>
      <c r="H74" s="25" t="s">
        <v>580</v>
      </c>
      <c r="I74" s="23">
        <v>75</v>
      </c>
      <c r="J74" s="21"/>
      <c r="K74" s="23" t="s">
        <v>562</v>
      </c>
      <c r="L74" s="23" t="s">
        <v>581</v>
      </c>
      <c r="M74" s="22"/>
    </row>
    <row r="75" ht="17" spans="1:13">
      <c r="A75" s="17" t="s">
        <v>457</v>
      </c>
      <c r="B75" s="18" t="s">
        <v>458</v>
      </c>
      <c r="C75" s="18" t="s">
        <v>459</v>
      </c>
      <c r="D75" s="18" t="s">
        <v>460</v>
      </c>
      <c r="E75" s="35">
        <v>0.004</v>
      </c>
      <c r="F75" s="18" t="s">
        <v>18</v>
      </c>
      <c r="G75" s="18" t="s">
        <v>461</v>
      </c>
      <c r="H75" s="36">
        <v>0.008</v>
      </c>
      <c r="I75" s="18">
        <v>70</v>
      </c>
      <c r="J75" s="21">
        <f>AVERAGE(I75:I78)</f>
        <v>76.75</v>
      </c>
      <c r="K75" s="18" t="s">
        <v>462</v>
      </c>
      <c r="L75" s="18" t="s">
        <v>464</v>
      </c>
      <c r="M75" s="22" t="s">
        <v>463</v>
      </c>
    </row>
    <row r="76" ht="17" spans="1:13">
      <c r="A76" s="17"/>
      <c r="B76" s="23" t="s">
        <v>465</v>
      </c>
      <c r="C76" s="23" t="s">
        <v>466</v>
      </c>
      <c r="D76" s="23" t="s">
        <v>467</v>
      </c>
      <c r="E76" s="24" t="s">
        <v>468</v>
      </c>
      <c r="F76" s="23" t="s">
        <v>30</v>
      </c>
      <c r="G76" s="23" t="s">
        <v>469</v>
      </c>
      <c r="H76" s="25" t="s">
        <v>470</v>
      </c>
      <c r="I76" s="23">
        <v>82</v>
      </c>
      <c r="J76" s="21"/>
      <c r="K76" s="23" t="s">
        <v>471</v>
      </c>
      <c r="L76" s="23" t="s">
        <v>472</v>
      </c>
      <c r="M76" s="22"/>
    </row>
    <row r="77" ht="17" spans="1:13">
      <c r="A77" s="17"/>
      <c r="B77" s="18" t="s">
        <v>473</v>
      </c>
      <c r="C77" s="18" t="s">
        <v>474</v>
      </c>
      <c r="D77" s="18" t="s">
        <v>475</v>
      </c>
      <c r="E77" s="19" t="s">
        <v>476</v>
      </c>
      <c r="F77" s="18" t="s">
        <v>21</v>
      </c>
      <c r="G77" s="18" t="s">
        <v>477</v>
      </c>
      <c r="H77" s="20" t="s">
        <v>478</v>
      </c>
      <c r="I77" s="18">
        <v>70</v>
      </c>
      <c r="J77" s="21"/>
      <c r="K77" s="18" t="s">
        <v>479</v>
      </c>
      <c r="L77" s="18" t="s">
        <v>480</v>
      </c>
      <c r="M77" s="22"/>
    </row>
    <row r="78" ht="17" spans="1:13">
      <c r="A78" s="17"/>
      <c r="B78" s="23" t="s">
        <v>481</v>
      </c>
      <c r="C78" s="23" t="s">
        <v>482</v>
      </c>
      <c r="D78" s="23" t="s">
        <v>483</v>
      </c>
      <c r="E78" s="26">
        <v>0.22</v>
      </c>
      <c r="F78" s="23" t="s">
        <v>30</v>
      </c>
      <c r="G78" s="23" t="s">
        <v>469</v>
      </c>
      <c r="H78" s="32">
        <v>0.21</v>
      </c>
      <c r="I78" s="23">
        <v>85</v>
      </c>
      <c r="J78" s="21"/>
      <c r="K78" s="23" t="s">
        <v>471</v>
      </c>
      <c r="L78" s="23" t="s">
        <v>484</v>
      </c>
      <c r="M78" s="22"/>
    </row>
  </sheetData>
  <autoFilter xmlns:etc="http://www.wps.cn/officeDocument/2017/etCustomData" ref="B1:B74" etc:filterBottomFollowUsedRange="0">
    <extLst/>
  </autoFilter>
  <mergeCells count="57">
    <mergeCell ref="A2:A9"/>
    <mergeCell ref="A10:A13"/>
    <mergeCell ref="A14:A16"/>
    <mergeCell ref="A17:A19"/>
    <mergeCell ref="A20:A21"/>
    <mergeCell ref="A22:A24"/>
    <mergeCell ref="A25:A28"/>
    <mergeCell ref="A29:A32"/>
    <mergeCell ref="A33:A35"/>
    <mergeCell ref="A36:A38"/>
    <mergeCell ref="A39:A45"/>
    <mergeCell ref="A46:A49"/>
    <mergeCell ref="A50:A53"/>
    <mergeCell ref="A54:A58"/>
    <mergeCell ref="A59:A60"/>
    <mergeCell ref="A61:A63"/>
    <mergeCell ref="A64:A70"/>
    <mergeCell ref="A71:A74"/>
    <mergeCell ref="A75:A78"/>
    <mergeCell ref="J2:J9"/>
    <mergeCell ref="J10:J13"/>
    <mergeCell ref="J14:J16"/>
    <mergeCell ref="J17:J19"/>
    <mergeCell ref="J20:J21"/>
    <mergeCell ref="J22:J24"/>
    <mergeCell ref="J25:J28"/>
    <mergeCell ref="J29:J32"/>
    <mergeCell ref="J33:J35"/>
    <mergeCell ref="J36:J38"/>
    <mergeCell ref="J39:J45"/>
    <mergeCell ref="J46:J49"/>
    <mergeCell ref="J50:J53"/>
    <mergeCell ref="J54:J58"/>
    <mergeCell ref="J59:J60"/>
    <mergeCell ref="J61:J63"/>
    <mergeCell ref="J64:J70"/>
    <mergeCell ref="J71:J74"/>
    <mergeCell ref="J75:J78"/>
    <mergeCell ref="M2:M9"/>
    <mergeCell ref="M10:M13"/>
    <mergeCell ref="M14:M16"/>
    <mergeCell ref="M17:M19"/>
    <mergeCell ref="M20:M21"/>
    <mergeCell ref="M22:M24"/>
    <mergeCell ref="M25:M28"/>
    <mergeCell ref="M29:M32"/>
    <mergeCell ref="M33:M35"/>
    <mergeCell ref="M36:M38"/>
    <mergeCell ref="M39:M45"/>
    <mergeCell ref="M46:M49"/>
    <mergeCell ref="M50:M53"/>
    <mergeCell ref="M54:M58"/>
    <mergeCell ref="M59:M60"/>
    <mergeCell ref="M61:M63"/>
    <mergeCell ref="M64:M70"/>
    <mergeCell ref="M71:M74"/>
    <mergeCell ref="M75:M78"/>
  </mergeCells>
  <pageMargins left="0.75" right="0.75" top="1" bottom="1" header="0.5" footer="0.5"/>
  <headerFooter/>
  <ignoredErrors>
    <ignoredError sqref="J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8"/>
  <sheetViews>
    <sheetView workbookViewId="0">
      <selection activeCell="A1" sqref="A$1:A$1048576"/>
    </sheetView>
  </sheetViews>
  <sheetFormatPr defaultColWidth="9.23076923076923" defaultRowHeight="16.8"/>
  <cols>
    <col min="1" max="1" width="27.4038461538462" customWidth="1"/>
  </cols>
  <sheetData>
    <row r="1" ht="17.55" spans="1:1">
      <c r="A1" s="1" t="s">
        <v>621</v>
      </c>
    </row>
    <row r="2" ht="17.55" spans="1:1">
      <c r="A2" s="2">
        <v>80</v>
      </c>
    </row>
    <row r="3" ht="17.55" spans="1:1">
      <c r="A3" s="3">
        <v>85</v>
      </c>
    </row>
    <row r="4" ht="17.55" spans="1:1">
      <c r="A4" s="2">
        <v>72</v>
      </c>
    </row>
    <row r="5" ht="17.55" spans="1:1">
      <c r="A5" s="3">
        <v>75</v>
      </c>
    </row>
    <row r="6" ht="17.55" spans="1:1">
      <c r="A6" s="2">
        <v>78</v>
      </c>
    </row>
    <row r="7" ht="17.55" spans="1:1">
      <c r="A7" s="3">
        <v>75</v>
      </c>
    </row>
    <row r="8" ht="17.55" spans="1:1">
      <c r="A8" s="2">
        <v>85</v>
      </c>
    </row>
    <row r="9" ht="17.55" spans="1:1">
      <c r="A9" s="4">
        <v>92</v>
      </c>
    </row>
    <row r="10" ht="17.55" spans="1:1">
      <c r="A10" s="2">
        <v>55</v>
      </c>
    </row>
    <row r="11" ht="17.55" spans="1:1">
      <c r="A11" s="3">
        <v>75</v>
      </c>
    </row>
    <row r="12" ht="17.55" spans="1:1">
      <c r="A12" s="2">
        <v>65</v>
      </c>
    </row>
    <row r="13" ht="17.55" spans="1:1">
      <c r="A13" s="3">
        <v>65</v>
      </c>
    </row>
    <row r="14" ht="17.55" spans="1:1">
      <c r="A14" s="2">
        <v>82</v>
      </c>
    </row>
    <row r="15" ht="17.55" spans="1:1">
      <c r="A15" s="3">
        <v>75</v>
      </c>
    </row>
    <row r="16" ht="17.55" spans="1:1">
      <c r="A16" s="2">
        <v>80</v>
      </c>
    </row>
    <row r="17" ht="17.55" spans="1:1">
      <c r="A17" s="3">
        <v>70</v>
      </c>
    </row>
    <row r="18" ht="17.55" spans="1:1">
      <c r="A18" s="2">
        <v>75</v>
      </c>
    </row>
    <row r="19" ht="17.55" spans="1:1">
      <c r="A19" s="3">
        <v>78</v>
      </c>
    </row>
    <row r="20" ht="17.55" spans="1:1">
      <c r="A20" s="3">
        <v>80</v>
      </c>
    </row>
    <row r="21" ht="17.55" spans="1:1">
      <c r="A21" s="2">
        <v>82</v>
      </c>
    </row>
    <row r="22" ht="17.55" spans="1:1">
      <c r="A22" s="3">
        <v>90</v>
      </c>
    </row>
    <row r="23" ht="17.55" spans="1:1">
      <c r="A23" s="2">
        <v>80</v>
      </c>
    </row>
    <row r="24" ht="17.55" spans="1:1">
      <c r="A24" s="3">
        <v>85</v>
      </c>
    </row>
    <row r="25" ht="17.55" spans="1:1">
      <c r="A25" s="5">
        <v>70</v>
      </c>
    </row>
    <row r="26" ht="17.55" spans="1:1">
      <c r="A26" s="6">
        <v>65</v>
      </c>
    </row>
    <row r="27" ht="17.55" spans="1:1">
      <c r="A27" s="5">
        <v>30</v>
      </c>
    </row>
    <row r="28" ht="17.55" spans="1:1">
      <c r="A28" s="6">
        <v>85</v>
      </c>
    </row>
    <row r="29" ht="17.55" spans="1:1">
      <c r="A29" s="2">
        <v>60</v>
      </c>
    </row>
    <row r="30" ht="17.55" spans="1:1">
      <c r="A30" s="3">
        <v>55</v>
      </c>
    </row>
    <row r="31" ht="17.55" spans="1:1">
      <c r="A31" s="2">
        <v>40</v>
      </c>
    </row>
    <row r="32" ht="17.55" spans="1:1">
      <c r="A32" s="3">
        <v>65</v>
      </c>
    </row>
    <row r="33" ht="17.55" spans="1:1">
      <c r="A33" s="2">
        <v>80</v>
      </c>
    </row>
    <row r="34" ht="17.55" spans="1:1">
      <c r="A34" s="3">
        <v>82</v>
      </c>
    </row>
    <row r="35" ht="17.55" spans="1:1">
      <c r="A35" s="2">
        <v>80</v>
      </c>
    </row>
    <row r="36" ht="17.55" spans="1:1">
      <c r="A36" s="3">
        <v>90</v>
      </c>
    </row>
    <row r="37" ht="17.55" spans="1:1">
      <c r="A37" s="2">
        <v>85</v>
      </c>
    </row>
    <row r="38" ht="17.55" spans="1:1">
      <c r="A38" s="3">
        <v>90</v>
      </c>
    </row>
    <row r="39" ht="17.55" spans="1:1">
      <c r="A39" s="2">
        <v>72</v>
      </c>
    </row>
    <row r="40" ht="17.55" spans="1:1">
      <c r="A40" s="3">
        <v>70</v>
      </c>
    </row>
    <row r="41" ht="17.55" spans="1:1">
      <c r="A41" s="2">
        <v>75</v>
      </c>
    </row>
    <row r="42" ht="17.55" spans="1:1">
      <c r="A42" s="3">
        <v>70</v>
      </c>
    </row>
    <row r="43" ht="17.55" spans="1:1">
      <c r="A43" s="3">
        <v>75</v>
      </c>
    </row>
    <row r="44" ht="17.55" spans="1:1">
      <c r="A44" s="2">
        <v>85</v>
      </c>
    </row>
    <row r="45" ht="17.55" spans="1:1">
      <c r="A45" s="2">
        <v>75</v>
      </c>
    </row>
    <row r="46" ht="17.55" spans="1:1">
      <c r="A46" s="3">
        <v>85</v>
      </c>
    </row>
    <row r="47" ht="17.55" spans="1:1">
      <c r="A47" s="2">
        <v>70</v>
      </c>
    </row>
    <row r="48" ht="17.55" spans="1:1">
      <c r="A48" s="3">
        <v>80</v>
      </c>
    </row>
    <row r="49" ht="17.55" spans="1:1">
      <c r="A49" s="2">
        <v>85</v>
      </c>
    </row>
    <row r="50" ht="17.55" spans="1:1">
      <c r="A50" s="2">
        <v>90</v>
      </c>
    </row>
    <row r="51" ht="17.55" spans="1:1">
      <c r="A51" s="3">
        <v>92</v>
      </c>
    </row>
    <row r="52" ht="17.55" spans="1:1">
      <c r="A52" s="2">
        <v>80</v>
      </c>
    </row>
    <row r="53" ht="17.55" spans="1:1">
      <c r="A53" s="3">
        <v>85</v>
      </c>
    </row>
    <row r="54" ht="17.55" spans="1:1">
      <c r="A54" s="2">
        <v>80</v>
      </c>
    </row>
    <row r="55" ht="17.55" spans="1:1">
      <c r="A55" s="3">
        <v>75</v>
      </c>
    </row>
    <row r="56" ht="17.55" spans="1:1">
      <c r="A56" s="2">
        <v>70</v>
      </c>
    </row>
    <row r="57" ht="17.55" spans="1:1">
      <c r="A57" s="3">
        <v>65</v>
      </c>
    </row>
    <row r="58" ht="17.55" spans="1:1">
      <c r="A58" s="3">
        <v>82</v>
      </c>
    </row>
    <row r="59" ht="17.55" spans="1:1">
      <c r="A59" s="3">
        <v>85</v>
      </c>
    </row>
    <row r="60" ht="17.55" spans="1:1">
      <c r="A60" s="2">
        <v>80</v>
      </c>
    </row>
    <row r="61" ht="17.55" spans="1:1">
      <c r="A61" s="3">
        <v>92</v>
      </c>
    </row>
    <row r="62" ht="17.55" spans="1:1">
      <c r="A62" s="2">
        <v>80</v>
      </c>
    </row>
    <row r="63" ht="17.55" spans="1:1">
      <c r="A63" s="3">
        <v>85</v>
      </c>
    </row>
    <row r="64" ht="17.55" spans="1:1">
      <c r="A64" s="3">
        <v>85</v>
      </c>
    </row>
    <row r="65" ht="17.55" spans="1:1">
      <c r="A65" s="2">
        <v>85</v>
      </c>
    </row>
    <row r="66" ht="17.55" spans="1:1">
      <c r="A66" s="3">
        <v>85</v>
      </c>
    </row>
    <row r="67" ht="17.55" spans="1:1">
      <c r="A67" s="2">
        <v>75</v>
      </c>
    </row>
    <row r="68" ht="17.55" spans="1:1">
      <c r="A68" s="3">
        <v>78</v>
      </c>
    </row>
    <row r="69" ht="17.55" spans="1:1">
      <c r="A69" s="2">
        <v>65</v>
      </c>
    </row>
    <row r="70" ht="17.55" spans="1:1">
      <c r="A70" s="3">
        <v>88</v>
      </c>
    </row>
    <row r="71" ht="17.55" spans="1:1">
      <c r="A71" s="2">
        <v>88</v>
      </c>
    </row>
    <row r="72" ht="17.55" spans="1:1">
      <c r="A72" s="3">
        <v>70</v>
      </c>
    </row>
    <row r="73" ht="17.55" spans="1:1">
      <c r="A73" s="2">
        <v>85</v>
      </c>
    </row>
    <row r="74" ht="17.55" spans="1:1">
      <c r="A74" s="3">
        <v>75</v>
      </c>
    </row>
    <row r="75" ht="17.55" spans="1:1">
      <c r="A75" s="2">
        <v>70</v>
      </c>
    </row>
    <row r="76" ht="17.55" spans="1:1">
      <c r="A76" s="3">
        <v>82</v>
      </c>
    </row>
    <row r="77" ht="17.55" spans="1:1">
      <c r="A77" s="2">
        <v>70</v>
      </c>
    </row>
    <row r="78" ht="17.55" spans="1:1">
      <c r="A78" s="3">
        <v>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ironthor</dc:creator>
  <cp:lastModifiedBy>Rock</cp:lastModifiedBy>
  <dcterms:created xsi:type="dcterms:W3CDTF">2025-12-31T01:30:48Z</dcterms:created>
  <dcterms:modified xsi:type="dcterms:W3CDTF">2025-12-31T02:28:31Z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57DC3755A2184888480C54696004C26C_41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